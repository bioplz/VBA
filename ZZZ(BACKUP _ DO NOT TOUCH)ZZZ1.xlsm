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M:\Commissioning Share\Test\"/>
    </mc:Choice>
  </mc:AlternateContent>
  <xr:revisionPtr revIDLastSave="0" documentId="8_{CBF7702F-5883-4986-B51A-397B97A23699}" xr6:coauthVersionLast="47" xr6:coauthVersionMax="47" xr10:uidLastSave="{00000000-0000-0000-0000-000000000000}"/>
  <bookViews>
    <workbookView xWindow="-120" yWindow="-120" windowWidth="29040" windowHeight="15990" tabRatio="599" xr2:uid="{CE40A372-1110-44D9-8B48-968218533F60}"/>
  </bookViews>
  <sheets>
    <sheet name="Data" sheetId="2" r:id="rId1"/>
    <sheet name="Sheet1" sheetId="1" r:id="rId2"/>
    <sheet name="Train7" sheetId="4" r:id="rId3"/>
    <sheet name="Train11" sheetId="8" r:id="rId4"/>
    <sheet name="Train8" sheetId="5" r:id="rId5"/>
    <sheet name="Train9" sheetId="6" r:id="rId6"/>
    <sheet name="Train10" sheetId="7" r:id="rId7"/>
    <sheet name="Train12" sheetId="9" r:id="rId8"/>
    <sheet name="Train 7 Overall" sheetId="12" r:id="rId9"/>
    <sheet name="Train 8 Overall" sheetId="11" r:id="rId10"/>
  </sheets>
  <functionGroups builtInGroupCount="19"/>
  <definedNames>
    <definedName name="_xlnm._FilterDatabase" localSheetId="0" hidden="1">Data!$A$2:$O$72</definedName>
    <definedName name="None">Sheet1!#REF!</definedName>
    <definedName name="UserList">Sheet1!$AD$2:$AD$3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34" i="1" l="1"/>
  <c r="S36" i="1"/>
  <c r="S38" i="1"/>
  <c r="S40" i="1"/>
  <c r="S42" i="1"/>
  <c r="S44" i="1"/>
  <c r="S46" i="1"/>
  <c r="S48" i="1"/>
  <c r="S50" i="1"/>
  <c r="S52" i="1"/>
  <c r="S54" i="1"/>
  <c r="S56" i="1"/>
  <c r="S58" i="1"/>
  <c r="S60" i="1"/>
  <c r="S62" i="1"/>
  <c r="S64" i="1"/>
  <c r="S66" i="1"/>
  <c r="S68" i="1"/>
  <c r="S70" i="1"/>
  <c r="S72" i="1"/>
  <c r="S74" i="1"/>
  <c r="S76" i="1"/>
  <c r="S78" i="1"/>
  <c r="S80" i="1"/>
  <c r="S82" i="1"/>
  <c r="S84" i="1"/>
  <c r="C37" i="1"/>
  <c r="S4" i="1"/>
  <c r="S5" i="1" s="1"/>
  <c r="S6" i="1" s="1"/>
  <c r="S7" i="1" s="1"/>
  <c r="S8" i="1" s="1"/>
  <c r="S9" i="1" s="1"/>
  <c r="S10" i="1" s="1"/>
  <c r="S11" i="1" s="1"/>
  <c r="S12" i="1" s="1"/>
  <c r="S13" i="1" s="1"/>
  <c r="S14" i="1" s="1"/>
  <c r="S15" i="1" s="1"/>
  <c r="S16" i="1" s="1"/>
  <c r="S17" i="1" s="1"/>
  <c r="S18" i="1" s="1"/>
  <c r="S19" i="1" s="1"/>
  <c r="S20" i="1" s="1"/>
  <c r="S21" i="1" s="1"/>
  <c r="S22" i="1" s="1"/>
  <c r="S23" i="1" s="1"/>
  <c r="S24" i="1" s="1"/>
  <c r="S25" i="1" s="1"/>
  <c r="S26" i="1" s="1"/>
  <c r="S27" i="1" s="1"/>
  <c r="S28" i="1" s="1"/>
  <c r="S29" i="1" s="1"/>
</calcChain>
</file>

<file path=xl/sharedStrings.xml><?xml version="1.0" encoding="utf-8"?>
<sst xmlns="http://schemas.openxmlformats.org/spreadsheetml/2006/main" count="2070" uniqueCount="575">
  <si>
    <t>TN#</t>
  </si>
  <si>
    <t>Test Results</t>
  </si>
  <si>
    <t>Test Recording Sheets</t>
  </si>
  <si>
    <t>Inspection Before Power On Test</t>
  </si>
  <si>
    <t>Measurement Before Power On Test</t>
  </si>
  <si>
    <t>Battery Control Test</t>
  </si>
  <si>
    <t>Control Circuit Test</t>
  </si>
  <si>
    <t>Logic Control Test</t>
  </si>
  <si>
    <t>Network System Test</t>
  </si>
  <si>
    <t>Auxiliary Power Supply Test</t>
  </si>
  <si>
    <t>Coupler Test</t>
  </si>
  <si>
    <t>Ethernet Cable Test</t>
  </si>
  <si>
    <t>Wiper Test</t>
  </si>
  <si>
    <t>Brake System Piping Tightness Test</t>
  </si>
  <si>
    <t>Brake Function Test</t>
  </si>
  <si>
    <t>Event Recorder Test</t>
  </si>
  <si>
    <t>Manual Brake Release Test</t>
  </si>
  <si>
    <t>Brake Caliper Apply Release Status Test</t>
  </si>
  <si>
    <t>Lighting System Test</t>
  </si>
  <si>
    <t>Static Propulsion System Test</t>
  </si>
  <si>
    <t>Video System Test</t>
  </si>
  <si>
    <t>Communication System Test</t>
  </si>
  <si>
    <t>Door System Test</t>
  </si>
  <si>
    <t>Automatic Passenger Counter System Test</t>
  </si>
  <si>
    <t>Air Comfort System Test</t>
  </si>
  <si>
    <t>Active Suspension System Test</t>
  </si>
  <si>
    <t>Automatic Train Control Test</t>
  </si>
  <si>
    <t>Motor Rotation Test</t>
  </si>
  <si>
    <t>Status Check Before Dynamic Test</t>
  </si>
  <si>
    <t>Dynamic Test</t>
  </si>
  <si>
    <t>通电前检查试验记录表</t>
  </si>
  <si>
    <t>通电前测量试验记录表</t>
  </si>
  <si>
    <t>蓄电池控制试验记录表</t>
  </si>
  <si>
    <t>控制电路试验记录表</t>
  </si>
  <si>
    <t>逻辑控制试验记录表</t>
  </si>
  <si>
    <t>网络系统试验记录表</t>
  </si>
  <si>
    <t>辅助供电试验记录表</t>
  </si>
  <si>
    <t>车钩试验记录表</t>
  </si>
  <si>
    <t>网线测试试验记录表</t>
  </si>
  <si>
    <t>刮雨器试验记录表</t>
  </si>
  <si>
    <t>制动系统密封性试验记录表</t>
  </si>
  <si>
    <t xml:space="preserve"> 制动功能检查试验记录表</t>
  </si>
  <si>
    <t>事件记录仪试验记录表</t>
  </si>
  <si>
    <t>转向架手动缓解试验记录表</t>
  </si>
  <si>
    <t>照明试验记录表</t>
  </si>
  <si>
    <t>制动夹钳开关状态试验记录表</t>
  </si>
  <si>
    <t>牵引系统静态试验记录表</t>
  </si>
  <si>
    <t>VS系统试验记录表</t>
  </si>
  <si>
    <t>CS系统试验记录表</t>
  </si>
  <si>
    <t>车门系统试验记录表</t>
  </si>
  <si>
    <t>乘客计数系统试验记录表</t>
  </si>
  <si>
    <t>空调系统试验记录表</t>
  </si>
  <si>
    <t>主动悬挂系统试验记录表</t>
  </si>
  <si>
    <t>自动列车控制试验记录表</t>
  </si>
  <si>
    <t>电机转向试验试验记录表</t>
  </si>
  <si>
    <t>动调前空开整备试验记录表</t>
  </si>
  <si>
    <t xml:space="preserve">动调试验记录表试验记录表 </t>
  </si>
  <si>
    <t>Test#</t>
  </si>
  <si>
    <t>Test Name</t>
  </si>
  <si>
    <t>测试名称</t>
  </si>
  <si>
    <t>supplier</t>
  </si>
  <si>
    <t>Bossard</t>
  </si>
  <si>
    <t>Dilax</t>
  </si>
  <si>
    <t>Howden</t>
  </si>
  <si>
    <t>KBPT</t>
  </si>
  <si>
    <t>Kustom Seating</t>
  </si>
  <si>
    <t>Liebherr</t>
  </si>
  <si>
    <t>Luminator</t>
  </si>
  <si>
    <t>NASG</t>
  </si>
  <si>
    <t>PowerTech</t>
  </si>
  <si>
    <t>Quester Tangent</t>
  </si>
  <si>
    <t>SAFT</t>
  </si>
  <si>
    <t>Siemens Bogie</t>
  </si>
  <si>
    <t>Siemens Propulsion</t>
  </si>
  <si>
    <t xml:space="preserve">Siemens Rail Auto </t>
  </si>
  <si>
    <t>Siemens Rail Automation</t>
  </si>
  <si>
    <t>Sifang's supplier</t>
  </si>
  <si>
    <t>Sigma</t>
  </si>
  <si>
    <t>STE</t>
  </si>
  <si>
    <t>Transtech</t>
  </si>
  <si>
    <t>Vapor</t>
  </si>
  <si>
    <t>Wabtec</t>
  </si>
  <si>
    <t>Other</t>
  </si>
  <si>
    <t>(Choose Supplier)</t>
  </si>
  <si>
    <t>Car#</t>
  </si>
  <si>
    <t>A</t>
  </si>
  <si>
    <t>B</t>
  </si>
  <si>
    <t>Both</t>
  </si>
  <si>
    <t>Impact</t>
  </si>
  <si>
    <t>Option</t>
  </si>
  <si>
    <t>Yes</t>
  </si>
  <si>
    <t>No</t>
  </si>
  <si>
    <t/>
  </si>
  <si>
    <t>TQ</t>
  </si>
  <si>
    <t>Train#</t>
  </si>
  <si>
    <t>Status</t>
  </si>
  <si>
    <t>Revenue</t>
  </si>
  <si>
    <t>Production</t>
  </si>
  <si>
    <t>B car</t>
  </si>
  <si>
    <t>A car</t>
  </si>
  <si>
    <t>(Test)</t>
  </si>
  <si>
    <t>7013 - 7014</t>
  </si>
  <si>
    <t>AS</t>
  </si>
  <si>
    <t>Username</t>
  </si>
  <si>
    <t>Password</t>
  </si>
  <si>
    <t>Admin</t>
  </si>
  <si>
    <t>Public</t>
  </si>
  <si>
    <t>Open</t>
  </si>
  <si>
    <t>Closed</t>
  </si>
  <si>
    <t>Start Date
报出日期</t>
  </si>
  <si>
    <t>Train Number
列号</t>
  </si>
  <si>
    <t>Car Number
车号</t>
  </si>
  <si>
    <t>Supplier
供应商</t>
  </si>
  <si>
    <t>Issue(s)
问题</t>
  </si>
  <si>
    <t>Owner
负责部门</t>
  </si>
  <si>
    <t>Notes
备注</t>
  </si>
  <si>
    <t>高/High</t>
  </si>
  <si>
    <t>中/Mid</t>
  </si>
  <si>
    <t>低/Low</t>
  </si>
  <si>
    <t>Additional Tests 附加测试</t>
  </si>
  <si>
    <t>动调试验记录表试验记录表</t>
  </si>
  <si>
    <t>10. Inspection Before Power On Test</t>
  </si>
  <si>
    <t>11. Measurement Before Power On Test</t>
  </si>
  <si>
    <t>12. Battery Control Test</t>
  </si>
  <si>
    <t>13. Control Circuit Test</t>
  </si>
  <si>
    <t>14. Logic Control Test</t>
  </si>
  <si>
    <t>15. Network System Test</t>
  </si>
  <si>
    <t>16. Auxiliary Power Supply Test</t>
  </si>
  <si>
    <t>17. Coupler Test</t>
  </si>
  <si>
    <t>18. Ethernet Cable Test</t>
  </si>
  <si>
    <t>19. Wiper Test</t>
  </si>
  <si>
    <t>20. Brake System Piping Tightness Test</t>
  </si>
  <si>
    <t>21. Brake Function Test</t>
  </si>
  <si>
    <t>22. Event Recorder Test</t>
  </si>
  <si>
    <t>23. Manual Brake Release Test</t>
  </si>
  <si>
    <t>24. Brake Caliper Apply Release Status Test</t>
  </si>
  <si>
    <t>25. Lighting System Test</t>
  </si>
  <si>
    <t>26. Static Propulsion System Test</t>
  </si>
  <si>
    <t>27. Video System Test</t>
  </si>
  <si>
    <t>28. Communication System Test</t>
  </si>
  <si>
    <t>29. Door System Test</t>
  </si>
  <si>
    <t>30. Automatic Passenger Counter System Test</t>
  </si>
  <si>
    <t>31. Air Comfort System Test</t>
  </si>
  <si>
    <t>32. Active Suspension System Test</t>
  </si>
  <si>
    <t>33. Automatic Train Control Test</t>
  </si>
  <si>
    <t>34. Motor Rotation Test</t>
  </si>
  <si>
    <t>35. Status Check Before Dynamic Test</t>
  </si>
  <si>
    <t>36. Dynamic Test</t>
  </si>
  <si>
    <t>complete</t>
  </si>
  <si>
    <t>ID#
序号</t>
  </si>
  <si>
    <t>Required Action
整改要求</t>
  </si>
  <si>
    <t>Required close date
要求关闭日期</t>
  </si>
  <si>
    <t>Actual Close Date
实际关闭日期</t>
  </si>
  <si>
    <t>Close Evidence
关闭依据</t>
  </si>
  <si>
    <t>Closed By
关闭人</t>
  </si>
  <si>
    <t>Test(s) Affected
影响试验</t>
  </si>
  <si>
    <t>Impact Level
影响等级</t>
  </si>
  <si>
    <t>QA REF #
QA文件编号</t>
  </si>
  <si>
    <t>S/N Before
换件前序列号</t>
  </si>
  <si>
    <t>S/N After
换件后序列号</t>
  </si>
  <si>
    <t>RD</t>
  </si>
  <si>
    <t>YongGui</t>
  </si>
  <si>
    <t>TLDB connector draining hole cannot be adjusted to the_x000D_
bottom._x000D_
TLDB连接器滴水孔无法调整至底部。</t>
  </si>
  <si>
    <t>RD to cnfirm with vendor how to adjust the position of_x000D_
the draining hole._x000D_
RD联系供应商确认如何调整排水孔</t>
  </si>
  <si>
    <t>12/18/2021</t>
  </si>
  <si>
    <t>SMI-P</t>
  </si>
  <si>
    <t>TIC箱底板未打防松标记。_x000D_
No torque marker on the bolts under the TIC.</t>
  </si>
  <si>
    <t>QA to verify</t>
  </si>
  <si>
    <t>QA</t>
  </si>
  <si>
    <t>APS检查盖板拆卸困难，盖板转轴链接部有间隙。_x000D_
The APS inspection cover is difficult to disassemble, and_x000D_
there is a gap in the hinge link of the cover.</t>
  </si>
  <si>
    <t>PD</t>
  </si>
  <si>
    <t>Repaired by PD</t>
  </si>
  <si>
    <t>RG</t>
  </si>
  <si>
    <t>APS 底板防松标记错位、不清晰_x000D_
APS bottom plate anti-loosing mark is misplaced and_x000D_
unclear</t>
  </si>
  <si>
    <t>1位端电钩CPHP2连接器及底座针上有微量粉末_x000D_
There is a small amount of powder on the CPHP2_x000D_
connector of the No.1 end electric coupler and the base_x000D_
pin</t>
  </si>
  <si>
    <t>The preassembled cable too long shall be replaced. NNP issued.</t>
  </si>
  <si>
    <t>机械钩末端有划伤_x000D_
The end of the mechanical Coupler is scratched</t>
  </si>
  <si>
    <t>ACU检查盖板锁扣生锈_x000D_
ACU inspection cover lock button is rusty</t>
  </si>
  <si>
    <t>空调ACUP1连接器所连线缆有划伤_x000D_
The cable connected to the ACUP1 connector of the air_x000D_
conditioner is scratched</t>
  </si>
  <si>
    <t>TBD</t>
  </si>
  <si>
    <t>车下分线箱连接器末端线缆破损且无线号标识_x000D_
The cable at the end of the connector of the Junction_x000D_
box is damaged and no cable number</t>
  </si>
  <si>
    <t>动力学转向架连接器，维持现状_x000D_
Temporary truck. Use it as is.</t>
  </si>
  <si>
    <t>JM</t>
  </si>
  <si>
    <t>动力学转向架动力学转向架连
接器，维持现状
Temporary truck.
Use it as is.</t>
  </si>
  <si>
    <t>蓄电池箱左边插销插不到位_x000D_
The lock tongue on the left side of the battery box can_x000D_
not be inserted in place</t>
  </si>
  <si>
    <t>HPU处两根线缆无线号标识_x000D_
Two cables at the HPU have no wire number</t>
  </si>
  <si>
    <t>7013车2架一个，7014车1架两个，7014车2架一个,_x000D_
牵引电机连接器漏水孔没有朝下_x000D_
Motor connector drain hole not facing down，one for_x000D_
No. 2 bogie of 7013，two for No. 1 bogie of 7014 and_x000D_
one for No. 1 bogie of 7014</t>
  </si>
  <si>
    <t>动力学转向架连
接器，维持现状
Temporary truck.
Use it as is.</t>
  </si>
  <si>
    <t>SCU的XSCU6插头插到XSCU7插座上了_x000D_
The XSCU6 plug of the SCU is incorrectly inserted into_x000D_
the XSCU7 socket</t>
  </si>
  <si>
    <t>修复_x000D_
repair</t>
  </si>
  <si>
    <t>GPS接地线松_x000D_
GPS ground wire loose</t>
  </si>
  <si>
    <t>12/16/2021</t>
  </si>
  <si>
    <t>B车3门左侧座椅下柜内、A车3门右侧座椅下柜内、_x000D_
A车CEC柜内灰尘太多。有短路火灾风险_x000D_
There is too much dust in the lower cabinet of the left_x000D_
seat of the third door of car B, the lower cabinet of the_x000D_
right seat of the third door of car A, and the CEC_x000D_
cabinet of car A. Short circuit and fire hazard.</t>
  </si>
  <si>
    <t>PD to clean</t>
  </si>
  <si>
    <t>四方所</t>
  </si>
  <si>
    <t>所有继电器标签反_x000D_
All relay labels are reversed</t>
  </si>
  <si>
    <t>3门右侧门板和车外指示灯连接器相抗。_x000D_
The right door panel of the third door is opposed to the_x000D_
indicator light connector outside the vehicle.</t>
  </si>
  <si>
    <t>PD to repair</t>
  </si>
  <si>
    <t>两车门包内有铝屑和杂物，有短路火灾风险。_x000D_
There are aluminum shavings and debris in the door_x000D_
bags. Short circuit and fire hazard.</t>
  </si>
  <si>
    <t>...</t>
  </si>
  <si>
    <t>空调柜内PTU口松动_x000D_
The PTU port in the air-conditioning cabinet is loose</t>
  </si>
  <si>
    <t>PD repaired</t>
  </si>
  <si>
    <t>JZ</t>
  </si>
  <si>
    <t>RD Confirmed with Vendor.It's not a draining hole. No water leakage risk.</t>
  </si>
  <si>
    <t>NP</t>
  </si>
  <si>
    <t>QA issued RRNSee status in RRN</t>
  </si>
  <si>
    <t>RRN20211216np-2</t>
  </si>
  <si>
    <t>蓄电池箱线缆锁紧头紧固不良_x000D_
The battery box cable connection is not good_x000D_
12/16/2021 QA checked this issue on-site</t>
  </si>
  <si>
    <t>动力学转向架连接器，维持现状Temporary truck. Use it as is.</t>
  </si>
  <si>
    <t>CAL side the wire lable and connection position of B350BD_01 and B- switched.</t>
  </si>
  <si>
    <t>7013 battery missing jumper cables. Battery cannot be used. Battery shall be replaced蓄电池缺短接线。电池无法使用，需整体更换。12/17/2021: SAFT will ship the missing jumper kit. While waiting, Commissioning removed three jumper cables and one jumper metal piece from an old battery in logistics and installed on 7013 battery.</t>
  </si>
  <si>
    <t>PL</t>
  </si>
  <si>
    <t>PL to ensure SAFT delivers cable</t>
  </si>
  <si>
    <t>12/17/2021</t>
  </si>
  <si>
    <t>Jumpers are installed. And battery works properly.QA to track NNP.</t>
  </si>
  <si>
    <t>SL</t>
  </si>
  <si>
    <t>NNP20211216MHSAFT-01</t>
  </si>
  <si>
    <t>Cab Circuit Breaker Panel P39 does not work. Needs to be replaced.断路器面板P39坏，需更换。</t>
  </si>
  <si>
    <t>PD to replace</t>
  </si>
  <si>
    <t>PD replaced</t>
  </si>
  <si>
    <t>MK</t>
  </si>
  <si>
    <t>The continuity of B39E_01 from TBL-51A to LS3R1 failed. Wrong wire is connected on the TBL side.TBL-51A到LS3R1 的B39E_01不导通。TBL侧所接线缆错。</t>
  </si>
  <si>
    <t xml:space="preserve"> </t>
  </si>
  <si>
    <t>FBM installed in TIC. This is a unit with access to POTs from cut out section. FBM on 7013 Serial Number: 0001251555 7014: Serial Number: 0001251559. installed. The part is internal to TIC assembly.Informed siemens to adjust it before software updating12/21._x000D_
12/22/2021FBM are adjusted._x000D_
12/29/2021: Siemens is on vacation. Delay this to 1/5/2022._x000D_
1/4: Siemens Swapped the FBM. Will update the software and test at morning _x000D_
1/5/20221/5/2022Siemens tested.</t>
  </si>
  <si>
    <t>Siemmens to update software and test</t>
  </si>
  <si>
    <t>1/5/2022</t>
  </si>
  <si>
    <t>NNP20211217NPSIM-1
NNP20211217NPSIM-2</t>
  </si>
  <si>
    <t>QA issued RRN
See status in RRN</t>
  </si>
  <si>
    <t>QA issued RRN</t>
  </si>
  <si>
    <t>RRN20211216np-1</t>
  </si>
  <si>
    <t>tightened by PD</t>
  </si>
  <si>
    <t>cleaned by PD</t>
  </si>
  <si>
    <t>QA issued RRN_x000D_
See status in RRN</t>
  </si>
  <si>
    <t>RRN20211216np-1_x000D_
RRN20211216np-2</t>
  </si>
  <si>
    <t>1/20/2022</t>
  </si>
  <si>
    <t>The TBR2 board label is missed.TBR2排少线排号QA informed vendor to provide more spare parts.1/6/2022PD helped to fix.</t>
  </si>
  <si>
    <t>PD help to fix</t>
  </si>
  <si>
    <t>PD helped to fix</t>
  </si>
  <si>
    <t>OTB1 miss busbar between terminal 6 and 7. Interior lights can't be turn on by closing ILSOTB1线排6，7接线柱之间少连片，导致操作客室照明ILS开关后，客室灯不亮。</t>
  </si>
  <si>
    <t>QA to issue RRN_x000D_
Vendor's issue, request PD to help</t>
  </si>
  <si>
    <t>12/21/2021</t>
  </si>
  <si>
    <t>Prototype car issue</t>
  </si>
  <si>
    <t>Lead</t>
  </si>
  <si>
    <t>Overall</t>
  </si>
  <si>
    <t>Inspect</t>
  </si>
  <si>
    <t>Measure</t>
  </si>
  <si>
    <t>Battery</t>
  </si>
  <si>
    <t>Control</t>
  </si>
  <si>
    <t>Logic</t>
  </si>
  <si>
    <t>TCMS</t>
  </si>
  <si>
    <t>APS</t>
  </si>
  <si>
    <t>Coupler</t>
  </si>
  <si>
    <t>Ethernet</t>
  </si>
  <si>
    <t>Wiper</t>
  </si>
  <si>
    <t>B-Tightness</t>
  </si>
  <si>
    <t>B-Function</t>
  </si>
  <si>
    <t>ER</t>
  </si>
  <si>
    <t>MBR</t>
  </si>
  <si>
    <t>B-Caliper</t>
  </si>
  <si>
    <t>Lighting</t>
  </si>
  <si>
    <t>Propulsion</t>
  </si>
  <si>
    <t>VS</t>
  </si>
  <si>
    <t>CS</t>
  </si>
  <si>
    <t>Door</t>
  </si>
  <si>
    <t>APC</t>
  </si>
  <si>
    <t>HVAC</t>
  </si>
  <si>
    <t>ATC</t>
  </si>
  <si>
    <t>Motor</t>
  </si>
  <si>
    <t>Dynamic</t>
  </si>
  <si>
    <t>Not Started</t>
  </si>
  <si>
    <t>With Open Items</t>
  </si>
  <si>
    <t>Passed</t>
  </si>
  <si>
    <t>12/20/2021</t>
  </si>
  <si>
    <t>OTB1 several quick connect mounting panels loose._x000D_
OTB1 部分端子排松动。</t>
  </si>
  <si>
    <t>Vendor's issue. PD helpe to repair</t>
  </si>
  <si>
    <t>No Linux O/S in SIGMA software package. SIGMA_x000D_
confirmed need SIGMA engineer to update it on site._x000D_
sigma 软件包中缺乏 Linux_x000D_
部分，sigma确认需其技术人员现场刷新。_x000D_
1/5/2022Will come 1/17 week, too late._x000D_
1/11/2022: Need another field service to update SW._x000D_
This issue can be resovled by train delivery._x000D_
1/19/2022:SIGMA field service will arrive 1/25. And_x000D_
they have portable battery to power on the ACU to_x000D_
update software. Because Linux O/S need developer_x000D_
permission, it have to be updated by SIGMA._x000D_
SIGMA可以用移动电源给ACU供电，完成软件更新_x000D_
。Linux O/S 更新需要开发者权限，无法授权。_x000D_
1/24/2022：SIGMA FIELD SERVICE UPDATED. CS_x000D_
Verified.</t>
  </si>
  <si>
    <t>PL to inform SIGMA to send Engineer.</t>
  </si>
  <si>
    <t>CS verified</t>
  </si>
  <si>
    <t>EM</t>
  </si>
  <si>
    <t>7013‐VS2‐A, 7014 VS1‐B, VS2‐B, VS3‐B pin connection_x000D_
are wrong. VS cannot get the correct configuration._x000D_
Software cannot be updated._x000D_
7013 VS2‐A, 7014 VS1‐B, VS2‐B, VS3‐_x000D_
B接线错，VS无法正确配置，软件无法更新。</t>
  </si>
  <si>
    <t>RG 
EM</t>
  </si>
  <si>
    <t>QA to verify the installation of the TS_x000D_
and TS‐CONFIG USB._x000D_
QA to issue NNP for the TS‐config USB_x000D_
not the TS.</t>
  </si>
  <si>
    <t>NNP20220107npqt‐1</t>
  </si>
  <si>
    <t>TS:001078
TS‐USB:007548</t>
  </si>
  <si>
    <t>TS:'001013
TS‐USB:007004</t>
  </si>
  <si>
    <t>LBML light off. LBML wires are connected in wrong_x000D_
position. SDL2 off either.</t>
  </si>
  <si>
    <t>PD repaired
LBML and SDL2 on</t>
  </si>
  <si>
    <t>7013 TS software cannot be updated. QT remotely
confirmed TS needs to be replaced. S/N: 001078 QA
to issue NNP. PD prepare a new TS to swap tomorrow
afternoon.
7013 TS
无法更新软件，经QT远程诊断需换件。质量开NNP
，生产准备件明天下午更换。
12/21/2021:
after swapped the TS. QT remotly confirmed it's the
交换机配置存储器 @ TS
Configuration Storage(A‐car) (P/N:40000491258)
issue.After changed with a new config storage, TS is updated normally.</t>
  </si>
  <si>
    <t>SDL1 cab end lights were off. SDL1 interior connectors_x000D_
(suppliers) loose. PD connected wires.</t>
  </si>
  <si>
    <t>Vendor's issue. PD helped to connected_x000D_
wires.</t>
  </si>
  <si>
    <t>SDL1 is on normally</t>
  </si>
  <si>
    <t>7013现车ACSU上的ADDR1的4，5针通，7014现车A_x000D_
CSU上的ADDR1的2，5针通。图纸要求1，5针通。_x000D_
7014现车ACSU上的ADDR2的2，4，5针之间导通，_x000D_
图纸要求3，5针导通。_x000D_
7014现车OCP的ADDR的2，5针导通，图纸要求1，5_x000D_
针通。_x000D_
STE to confirm the right configuration of the ADDR of_x000D_
ACSU, OCP and ANS._x000D_
12/22/2021 STE provided the configuration standard._x000D_
Confirmed the ADDR‐CTR‐B and ADDR‐CCU‐A is not_x000D_
correct. Replaced with new ones by PD.</t>
  </si>
  <si>
    <t>QA to issue NNP for the 2 ADDRs</t>
  </si>
  <si>
    <t>12/23/2021</t>
  </si>
  <si>
    <t>PD replaced._x000D_
Verified OK.</t>
  </si>
  <si>
    <t>NNP20211222npste‐2</t>
  </si>
  <si>
    <t>OTB1 jumper between 2 and 3 incorrect. Should be_x000D_
removed.</t>
  </si>
  <si>
    <t>Vendor's issue, PD to help to repair</t>
  </si>
  <si>
    <t>12/22/2021</t>
  </si>
  <si>
    <t>Repaired by PD.</t>
  </si>
  <si>
    <t>7013 BYLL light bulb is red, should be AMBER. Lens is_x000D_
amber which is correct._x000D_
1/12/2022 Borrow one from After‐sales, swapped the_x000D_
red light. Issue is resolved.</t>
  </si>
  <si>
    <t>PL inform vendor to provide part to close_x000D_
NNP</t>
  </si>
  <si>
    <t>1/4/2022</t>
  </si>
  <si>
    <t>Verified</t>
  </si>
  <si>
    <t>NNP20211229nplu‐4</t>
  </si>
  <si>
    <t>CTRL board indicators are off. STE remotely_x000D_
confirmed ACSU‐CTRL board needs to be replaced._x000D_
swapped the board with the 7014 CTRL, the issue is_x000D_
happen on 7014. After changed 3 times, CTRL_x000D_
indicator can turn on. 3 faulty CTRL_x000D_
boards（SN:05241000010, 11131010009,_x000D_
05241000002) are on 3 ACSU (S/N:S0036/2021,_x000D_
S0038/2021, S0035/2021)._x000D_
12/29/2021After corrected item 40 wire fault, trid the_x000D_
three faulty boards, only 11131010009 is offline with_x000D_
indicators on._x000D_
12/30/2021 STE confirmed the 11131010009 is_x000D_
normal.</t>
  </si>
  <si>
    <t>CS inform vendor Engineer to_x000D_
troubleshoot</t>
  </si>
  <si>
    <t>12/30/2021</t>
  </si>
  <si>
    <t>PD replaced._x000D_
Verified OK</t>
  </si>
  <si>
    <t>申晟</t>
  </si>
  <si>
    <t>电笛控制盒 @ Horn Control Unit(P/N 40000418081,_x000D_
S/N 35B‐8‐181) doesn't work properly. Step on A car_x000D_
horn switch, B car horn sounds.After swap it with new_x000D_
one(S/N 35B‐8‐008), work normally._x000D_
HCU功能不正常，踩A车鸣笛开关，B车鸣笛。更换_x000D_
后功能正常。</t>
  </si>
  <si>
    <t>SFQA to issue NNP</t>
  </si>
  <si>
    <t>NNP20211229DXSF‐1</t>
  </si>
  <si>
    <t>QA
SF</t>
  </si>
  <si>
    <t>PL inform vendor to provide the new_x000D_
version software</t>
  </si>
  <si>
    <t>2/4/2022</t>
  </si>
  <si>
    <t>CTRL board indicator lights cannot keep on for one_x000D_
minute after power on the ACSU. By continuity test_x000D_
from A car J21 to B car J21, found the wire connection_x000D_
in CMPP and A car J21 are wrong._x000D_
Continuity test team confirmed.</t>
  </si>
  <si>
    <t>PL inform vendor to repair</t>
  </si>
  <si>
    <t>After I/O board is_x000D_
replaced, issue is_x000D_
resolved.</t>
  </si>
  <si>
    <t>NNP20211223NPPT‐1</t>
  </si>
  <si>
    <t>As battery voltage is lower than 23V, APS K05 doesn't_x000D_
close, which caused LVBR cannot be energized. After_x000D_
troubleshooting, confirmed it's APS interior fault._x000D_
Need APS field service to check and repair._x000D_
12/27/2021 No white light fault is output due to the_x000D_
I/O board fault._x000D_
1/10/2022: PT got I/O board and will come to facility_x000D_
to repair._x000D_
1/11/2022： After I/O board is replaced, issue is_x000D_
resolved.</t>
  </si>
  <si>
    <t>1/28/2022</t>
  </si>
  <si>
    <t>ACR1~ACR5 are de‐energized after KEY OFF 4~5_x000D_
seconds, and it is correct. Recording sheet and test_x000D_
procedure requirement is 3 second. RD shall update_x000D_
the procedure.</t>
  </si>
  <si>
    <t>RD to update static test procedure after_x000D_
the first train comissioning</t>
  </si>
  <si>
    <t>12/27/2021</t>
  </si>
  <si>
    <t>No airflow from Traction Moter blower 2. After_x000D_
checking, the blower protection is not removed. After_x000D_
removing the protection, issue is resolved._x000D_
二位端牵引电机冷却风机没有风，拆座椅检查后发_x000D_
现进风口防护未拆。拆除后问题解决</t>
  </si>
  <si>
    <t>7013 Axle 4 caliper connector pin B and D are_x000D_
connected as brake applied and manual release cut‐in,_x000D_
B and F should be connected._x000D_
4轴夹钳制动状态下连接器B,D导通，应该B,F通。_x000D_
1/6/2022WPT field service did slack adjustment again,_x000D_
and issue is resolved.</t>
  </si>
  <si>
    <t>1/10/2022</t>
  </si>
  <si>
    <t>WPT field service did_x000D_
slack adjustment._x000D_
Solved</t>
  </si>
  <si>
    <t>NNP20211229npwb‐3</t>
  </si>
  <si>
    <t>TIC‐J1（E1,E2）到HPCU (D,E)接线反。_x000D_
7014 HPCU doesn't work. After troubleshooting, foun_x000D_
the wires between TIC‐J1 (E1, E2) and HPCU ( D, E)_x000D_
reversed._x000D_
12/28/2021 HPCU side D and E pins are reversed.</t>
  </si>
  <si>
    <t>12/28/2021</t>
  </si>
  <si>
    <t>PD repared._x000D_
Verified OK.</t>
  </si>
  <si>
    <t>HZJ</t>
  </si>
  <si>
    <t>SIGMA repaired Verified OK</t>
  </si>
  <si>
    <t>NNP20211229npsg‐1</t>
  </si>
  <si>
    <t>Contactor，40000467924，AF26ZB‐40‐00RT‐</t>
  </si>
  <si>
    <t>控制继电器面板的BCC（接触器 @
Contactor，40000467924，AF26ZB‐40‐00RT‐
21U）坏，给电不吸合，影响制动试验。更换后问
题解决。
CRP BCC is not energized as power on.</t>
  </si>
  <si>
    <t>PD helped to repair</t>
  </si>
  <si>
    <t>PD replaced
Verified OK</t>
  </si>
  <si>
    <t>15.1, 31.3</t>
  </si>
  <si>
    <t>7013 cab‐side headlight cannot be turn on. The_x000D_
resistance of the headlight is infinite. Need field_x000D_
service to repair. (Serial Number is not available)_x000D_
司机室侧头灯不亮，阻值无穷大，需厂家现场修复_x000D_
。_x000D_
12/29/2021cab side accent light, one section is not_x000D_
clear._x000D_
1/12/2022 Borrow one headlight bult from AS._x000D_
1/14/2022 PD helped to replaced the headlight bulb_x000D_
and accent light._x000D_
Issue is resolved.</t>
  </si>
  <si>
    <t>NNP20211229nplu‐5</t>
  </si>
  <si>
    <t>7014 two accent lights and 7013 cab‐side accent light_x000D_
cannot turn on because the light side connector_x000D_
contacts are not seat well. After push the contact in_x000D_
the connector, issues are resolved. Sent Email to QA_x000D_
team.</t>
  </si>
  <si>
    <t>PD helped</t>
  </si>
  <si>
    <t>12/29/2021</t>
  </si>
  <si>
    <t>网络PTU读不到ATC 旁路信号。_x000D_
A2_02线（CSTB‐10A 到 BTB1‐11B），CSTB侧没有线_x000D_
TCMS PTU cannot get ATC bypass signal because wire_x000D_
A2_02 from CSTB‐10A to BTB1‐11B cannot be found_x000D_
on CSTB._x000D_
Wire is connected on CSTB‐8. Repaired.</t>
  </si>
  <si>
    <t>TOTS has a pot which display blue as it should be_x000D_
black.Need to be replaced.Please issue NNP S/N is out_x000D_
of access._x000D_
1/4/2022:PD changed the TOTS. QT updatd the_x000D_
software remotely. Verified OK.</t>
  </si>
  <si>
    <t>1/3/2022</t>
  </si>
  <si>
    <t>:PD changed the_x000D_
TOTS. QT updatd the_x000D_
software remotely._x000D_
Verified OK.</t>
  </si>
  <si>
    <t>NNP20211229npqt‐2</t>
  </si>
  <si>
    <t>QTC 1184F01_x000D_
Q01080</t>
  </si>
  <si>
    <t>QTC 1184F01 Q01028</t>
  </si>
  <si>
    <t>1/29/2022</t>
  </si>
  <si>
    <t>7013 HVAC (S/N 4059‐026) is offline. Interior DC‐DC_x000D_
converter module has no output, shall be replaced._x000D_
Need field service to repair._x000D_
1/5/2022Will come 1/17 week, too late._x000D_
1/11/2022 PL borrowed one DC/DC converter from_x000D_
another ACU for SIGMA. Verified OK</t>
  </si>
  <si>
    <t>SIGMA repaired_x000D_
Verified OK</t>
  </si>
  <si>
    <t>NNP20211229npsig‐7</t>
  </si>
  <si>
    <t>15.11, 31.1</t>
  </si>
  <si>
    <t>PL to inform vendor field service to repair</t>
  </si>
  <si>
    <t>TBC1 ‐_x000D_
25无线,原理图与接线图不符，需更改原理图。_x000D_
TBC1‐25 should be no wire. Schematic drawing is_x000D_
wrong and should be updated.</t>
  </si>
  <si>
    <t>RD to update schematic drawing after_x000D_
the first train comissioning</t>
  </si>
  <si>
    <t>CSTB‐_x000D_
8A无线，应有A19A_01(到MC),错接在9A上，PD修_x000D_
改。No wire is connected on CSTB‐8A, and A19A_01_x000D_
from MC shall be there, but A19A_01 is connected on_x000D_
9A.</t>
  </si>
  <si>
    <t>司机室侧多彩马克灯不亮，接线错，6孔线应该接_x000D_
到4孔。已修复_x000D_
Cab side RMML(Right Multi maker light) cannot be_x000D_
turn on, which caused by the wrong wire connection,_x000D_
the contact 6 should be moved to contact 4.</t>
  </si>
  <si>
    <t>网络收不到司控器DMS信号，CSTB‐14_x000D_
接线板安装错误。四方所问题。_x000D_
TCMS cannot receive the DMS signal. CSTB‐14_x000D_
terminal board type is not correct. Vendor issue.</t>
  </si>
  <si>
    <t>ADU cannot be turn on. A7_02 is connected to RULE_x000D_
6.4 3, should be connected to 4._x000D_
ADU不亮，经排查，A7_02被接在RULE6.4的3针，_x000D_
应该接在4针上。</t>
  </si>
  <si>
    <t>7014 Accent Light Assy(Left)(P/N 40000436365), the_x000D_
lower section has colder color temperature.</t>
  </si>
  <si>
    <t>BSC</t>
  </si>
  <si>
    <t>ER硬线指令试验中，旁路低速连锁信号时，需查看_x000D_
ER PTU中的[Low speed interlock]_x000D_
状态。PTU中无该项。_x000D_
In ER hardware signal test, after bypassing the low ‐_x000D_
speed interlock switch, the [low‐speed interlock]_x000D_
status should be checked in ER PTU. PTU has no this_x000D_
item._x000D_
RD replied this issue will be fixed in next version_x000D_
software.</t>
  </si>
  <si>
    <t>PL inform vendor to provide the new version software</t>
  </si>
  <si>
    <t>1/31/2022</t>
  </si>
  <si>
    <t>7013制动缓解后车外黄灯微亮，发现TBC2_x000D_
B30A_08错接在49A，应接在50A改正后问题解决。_x000D_
After release the brake, the exterior yellow lights are_x000D_
dim. TBC2 B30A_08 is connected on 49A, should be_x000D_
50A.</t>
  </si>
  <si>
    <t>12/30/2022</t>
  </si>
  <si>
    <t>TOTS不显示牵引使能旁路。RD_x000D_
确认删除该试验要求。_x000D_
TOTS doesn't display the propulsion enable bypass_x000D_
status. RD confirmed this test item would be deleted.</t>
  </si>
  <si>
    <t>Interior loudspeaker doesn't sound because ILSP1 and_x000D_
ILSP2 connectors are displugged._x000D_
车内扬声器不响。经排查，ILSP1和ILSP2连接器未_x000D_
插</t>
  </si>
  <si>
    <t>PD repaired_x000D_
Verified</t>
  </si>
  <si>
    <t>2个乘客计数传感器连接器未插接到位。_x000D_
Two Passenger accounting sensors connectors are not_x000D_
connected well.</t>
  </si>
  <si>
    <t>Blue light fault can be reset by moving MC to EM. RD_x000D_
will discuss with SMI._x000D_
蓝灯故障，只需将司控器打到紧急位即可复位。R_x000D_
D将和西门子讨论。_x000D_
1/11/2022：After update Ethernet board software,_x000D_
issue disappeared.</t>
  </si>
  <si>
    <t>RD to find the cause with SMI</t>
  </si>
  <si>
    <t>After update Ethernet board software, issue disappeared.</t>
  </si>
  <si>
    <t>CW</t>
  </si>
  <si>
    <t>7014 TIC (S/N：X‐M‐5‐9117550379‐001) cooling fan_x000D_
has abnormal noise . Need field service to check and_x000D_
repair._x000D_
1/4/2022:The issue disappeared. Closed.</t>
  </si>
  <si>
    <t>PL inform field service to repair</t>
  </si>
  <si>
    <t>The issue disappeared</t>
  </si>
  <si>
    <t>Overdue</t>
  </si>
  <si>
    <t>Cab Bypass Indicator Light bulb is not installed in the_x000D_
lens. PD repaired.</t>
  </si>
  <si>
    <t>Wiper motor is against the insulation. PD fixed the_x000D_
insulation.</t>
  </si>
  <si>
    <t>格林仕</t>
  </si>
  <si>
    <t>刮雨器连杆和雨刷连接处缺少一个垫圈。需整体换_x000D_
件。_x000D_
Wiper misses one spacer. Needs to be replaced._x000D_
1/5/2022：PD replaced</t>
  </si>
  <si>
    <t>SFQA help to ask vendor the_x000D_
replacement schedule</t>
  </si>
  <si>
    <t>NNP20220104DXSF‐1</t>
  </si>
  <si>
    <t>HCSB cannot be closed. No error is found from car_x000D_
side wiring. Siemens field service found one fault in_x000D_
the FBPCU LOG which is "HSCB sticks during_x000D_
operation".Siemens confirmed TIC output signal_x000D_
(ABIN1K1.IN) is correct. It should be HSCB part issue._x000D_
Needs Siemens to confirm._x000D_
1/5/2022 Siemens will troulbeshoot tmr._x000D_
1/11/2022 Siemens updated ICU software again, and_x000D_
issue is resolved.</t>
  </si>
  <si>
    <t>CS to follow this issue</t>
  </si>
  <si>
    <t>Siemens updated ICU software again, and issue is resolved.</t>
  </si>
  <si>
    <t>PL to inform vendor to repair</t>
  </si>
  <si>
    <t>2/1/2022</t>
  </si>
  <si>
    <t>ATC Ethernet board software cannot be updated with_x000D_
two errors which are no IP can be found from_x000D_
AutoUpdate and Netburner refused to shutdown._x000D_
With SRA instruction, solved by connecting the laptop_x000D_
to primary port and moving the small black switch._x000D_
Updated the software without error.</t>
  </si>
  <si>
    <t>Updated the_x000D_
software without_x000D_
error.</t>
  </si>
  <si>
    <t>VSRS</t>
  </si>
  <si>
    <t>7013 door 2 close time is 2.7s, and 7014 door 2 is_x000D_
2.65s, door 3, door 4 are both 2.7s. Requirement is_x000D_
2.5±0.1s._x000D_
Need VSRS field service to check and repair._x000D_
1/13/2022: VSRS test procedure requirement is_x000D_
2.5±0.2s. Need RD to update procedure._x000D_
1/19/2022 RD request Vapor to revise the related_x000D_
documents to keep them with the same closing speed_x000D_
requirement.</t>
  </si>
  <si>
    <t>PL inform vendor to respond RD's_x000D_
request</t>
  </si>
  <si>
    <t>集控关门时7014车3门自动触发防挤压_x000D_
Operate DCB to close the doors, door 3 kept bouncing_x000D_
back open and cannot be closed completely._x000D_
1/6/2022_x000D_
7014 3门滑轨接缝处错位（可能导致_x000D_
自动防挤压）._x000D_
operator sliding tracks are misaligned._x000D_
1/18/2022 bouncing back open issue is resolved.</t>
  </si>
  <si>
    <t>1/18/2022</t>
  </si>
  <si>
    <t>Door can open and_x000D_
close normally after_x000D_
meeting obstruction</t>
  </si>
  <si>
    <t>7013_x000D_
2门门外紧急解锁开门开关紧，需用力才能开门。_x000D_
7013 door 2 OES is tight, have to turn very hard to_x000D_
open the door._x000D_
1/6/2022 test it again with Vapor. Act normally.</t>
  </si>
  <si>
    <t>1/6/2022</t>
  </si>
  <si>
    <t>Act normally</t>
  </si>
  <si>
    <t>Door 1 and 2 has abnormal noise as opening and_x000D_
closing. Need PD to check and repair._x000D_
7013 1,2门开关门时有异响，需PD检查。_x000D_
PD didn't find Need field service to check._x000D_
1/18/2022 field service checked, but didn't find the_x000D_
root cause. Need further troubleshoot_x000D_
1/19/2022 The noise is caused by the upper seal and_x000D_
the seal bar. Add some WD‐40 to lubricate and noise_x000D_
disappeared. PD adjusted the seal bar lower.</t>
  </si>
  <si>
    <t>PD adjusted</t>
  </si>
  <si>
    <t>Noise disappeared_x000D_
after adjusted by PD</t>
  </si>
  <si>
    <t>Door 2 PAL接线与门机构抗，PD固定电缆_x000D_
Door 2 PAL wire is against door operator. PD fixed the_x000D_
wire.</t>
  </si>
  <si>
    <t>PD fixed</t>
  </si>
  <si>
    <t>7014 4门电机侧机构有异音_x000D_
7014 door 4 motor side of the door operator has_x000D_
slight abnormal noise._x000D_
1/6/2022 Field service makes a video to confirm with_x000D_
their Engineer._x000D_
1/11/2022 Adjusted by field service. Issue is resolved.</t>
  </si>
  <si>
    <t>PL inform field service to check and repair</t>
  </si>
  <si>
    <t>1/11/2022</t>
  </si>
  <si>
    <t>Adjusted by field service. Issue is resolved.</t>
  </si>
  <si>
    <t>MC1 Door 3 does not open the required width after_x000D_
meeting an obstruction._x000D_
1/18/2022 Tested again with field service and passed.</t>
  </si>
  <si>
    <t>Tested again and passed.</t>
  </si>
  <si>
    <t>DCBs can be forced closed with key removed_x000D_
while window is still open_x000D_
Close this item because all DCB will be replaced.</t>
  </si>
  <si>
    <t>test it again after DCB is replaced</t>
  </si>
  <si>
    <t>MC1 and MC2 No.2 End doors do not fully close.</t>
  </si>
  <si>
    <t>PD to adjust</t>
  </si>
  <si>
    <t>MC1 No.1 End window sticking when opening._x000D_
Vapor did some lubrication</t>
  </si>
  <si>
    <t>PL inform field service to check and repair.</t>
  </si>
  <si>
    <t>Lubricated</t>
  </si>
  <si>
    <t>7014空调高速通风状态运行时，一位端电机冷却_x000D_
风机处侧墙板有共振现象_x000D_
7014 side wall panel beside the No. 1 End motor_x000D_
blower shakes as the air condition blower is in_x000D_
high-speed mode._x000D_
1/7/2022 PD will try to fill the gap between the_x000D_
panel and the underseat box._x000D_
1/10 PD Repaired. Tested and shaking_x000D_
disappeared.</t>
  </si>
  <si>
    <t>1/12/2022</t>
  </si>
  <si>
    <t>PD repaired. Tested and shaking disappeared.</t>
  </si>
  <si>
    <t>1/7/2022</t>
  </si>
  <si>
    <t>7013 New wiper is against the cab-side seal of_x000D_
the windshield. Need PD to adjust._x000D_
新装的7013雨刷角度需要调整，动作时碰前窗外_x000D_
侧胶皮_x000D_
1/7/2022 Adjusted</t>
  </si>
  <si>
    <t>1/7//2022</t>
  </si>
  <si>
    <t>7013_x000D_
EMS2字体颜色与其他LED屏幕不一致，STE调整_x000D_
参数后，问题解决。_x000D_
7013 EMS2 font color is different with other EMS._x000D_
STE adjusted the configuration. Solved.</t>
  </si>
  <si>
    <t>STE adjusted</t>
  </si>
  <si>
    <t>Exterior speakers play door closing audio when_x000D_
exterior button on TOTS is disabled._x000D_
TOTS的EXTERION取消后，按下TOTS上DOOR按钮会_x000D_
触发车内外广播_x000D_
1/12/2022 Test procedure is wrong. STE will inform_x000D_
RD to update the procedure._x000D_
1/13/2022 STE provided updated test procedure to_x000D_
RD</t>
  </si>
  <si>
    <t>"Next" button on ALL DCBs disables "Exterior"_x000D_
selection on TOTS._x000D_
TOTS的EXTERION选中后，按下DCB上NEXT按钮后_x000D_
会取消EXTERION选中_x000D_
1/12/2022 Test procedure is wrong. STE will inform_x000D_
RD to update the procedure._x000D_
1/13/2022 STE provided updated test procedure to_x000D_
RD</t>
  </si>
  <si>
    <t>Documented Issue</t>
  </si>
  <si>
    <t>Documented issue</t>
  </si>
  <si>
    <t>Special Announcements continue to repeat after_x000D_
"Repeat" button is unselected._x000D_
特殊广播时，REPEAT 功能无法取消重复_x000D_
1/12/2022 Test procedure is wrong. STE will inform_x000D_
RD to update the procedure._x000D_
1/13/2022 STE provided updated test procedure to_x000D_
RD</t>
  </si>
  <si>
    <t>SDS1/2 brightness not responding when light sensors_x000D_
receive more or less light. After troubleshoot, STE_x000D_
think it's caused by interior loose wire connection._x000D_
Need to be replaced._x000D_
SDS感光功能无法实现，新钶诊断为内部接线松动_x000D_
导致。需换件。_x000D_
1/12/2022 STE field service checked. Need to be_x000D_
verified._x000D_
1/13/2022:The brightness test passed.</t>
  </si>
  <si>
    <t>CS to verify</t>
  </si>
  <si>
    <t>1/13/2022</t>
  </si>
  <si>
    <t>The brightness test passed</t>
  </si>
  <si>
    <t>司机室扬声器不响。经查看，司机室板卡I/O(B)_x000D_
板卡 内部插未插到位，插到位后问题解决。_x000D_
CLS doesn't sound. It is caused by the loose connector_x000D_
in the I/O(B) board. After plug it, issue is resolved.</t>
  </si>
  <si>
    <t>所有摄像头的视频幀为25fps，试验大纲要求为30f_x000D_
ps 新钶已调整_x000D_
All camera video Frame rate is 25fps. Test procedure_x000D_
requirement is 30 fps._x000D_
STE adjusted.</t>
  </si>
  <si>
    <t>Camera time_x000D_
is different with TCMS time. STE adjusted</t>
  </si>
  <si>
    <t>司机室摄像头的分辨率为1280*1280，试验大纲要_x000D_
求为1280*720。_x000D_
Cab camera PPI is 1280×1280, test procedure_x000D_
requiremtn is 1290×720. Test procedure is wrong._x000D_
1/13/2022 STE provided updated test procedure to_x000D_
RD</t>
  </si>
  <si>
    <t>RSMD的温度值远高于环境温度，超过试验大纲范_x000D_
围_x000D_
RSMD temperature shown in PTU is much higher than_x000D_
environment temperature. Doesn't meet test_x000D_
procedure._x000D_
1/14/2022:STE request to update the test procedure</t>
  </si>
  <si>
    <t>NOT IN SERVICE 后打回 NORMAL ，不需要重新设站‐_x000D_
‐‐‐‐‐答复修改试验大纲_x000D_
Turn DSS from NOT IN SERVICE TO NORMAL, original_x000D_
route information is displayed. Route set is not_x000D_
necessary. Update test procedure._x000D_
1/13/2022 STE provided updated test procedure to_x000D_
RD.</t>
  </si>
  <si>
    <t>Emergency record (PIU and Door handle) timerange_x000D_
doesn't meet the test procedure requirement._x000D_
PIU及门紧急解锁视频记录时间不符合试验大纲要_x000D_
求。_x000D_
1/14/2022:STE request to update the test procedure</t>
  </si>
  <si>
    <t>PIU图标在TOTS上面不显示‐‐QT软件问题_x000D_
PIU icon is not displayed on TOTS as PIU is activated._x000D_
QT software issue.</t>
  </si>
  <si>
    <t>按下PIU后，TOTS上不显示摄像头名称‐‐‐_x000D_
QT软件问题_x000D_
Camera name is not displayed on TOTS camera view_x000D_
after PIU is activated</t>
  </si>
  <si>
    <t>FVC and OPC connectors are reversed. PD repaired.</t>
  </si>
  <si>
    <t>WHS 到 OTB2 B45A_09无线。四方所问题。_x000D_
No B45A_09 from WHS to OTB2 is in OCP. Vendor's_x000D_
issue._x000D_
PD repaired</t>
  </si>
  <si>
    <t>APS interior relay K03 and K04 cannot be fully_x000D_
energized. The lights are dim as the relays should be_x000D_
energized. Moved K05 negative wire to K04, and K04_x000D_
can be fully energized. So the issue is caused by I/O_x000D_
board. Need field service to replace the board._x000D_
1/14/2022 APS changed the I/O board and relay K03,_x000D_
K04. K03 is burned. Verified white light and LVPS_x000D_
status. OK</t>
  </si>
  <si>
    <t>PL inform field service to check and_x000D_
repair</t>
  </si>
  <si>
    <t>1/14/2022</t>
  </si>
  <si>
    <t>Vendor repaired</t>
  </si>
  <si>
    <t>RD and vendor to confirm the right test_x000D_
procedure</t>
  </si>
  <si>
    <t>紧急解锁时，司机室喇叭声音不对。_x000D_
As open door by EHS, the sound of Cab speaker is_x000D_
wrong. STE to troubleshoot._x000D_
1/13/2022 IOB内音频未更新导致，1/14更新_x000D_
The audio in IOB is not updated. Update 1/14._x000D_
1/19/2022：Updated . Verified and OK.</t>
  </si>
  <si>
    <t>CS inform vendor Engineer to troubleshoot</t>
  </si>
  <si>
    <t>NNP20220113NPVP‐1</t>
  </si>
  <si>
    <t>7013 SDS1 内部排线连接器破损，需更换排线。_x000D_
7013 SDS1 interior ribbon cable connector is_x000D_
damaged. Ribbon cable needs to be replaced._x000D_
1/18/2022: STE is deliverying ribbon cables to chicago_x000D_
AS from China. ETA 1/31/2022</t>
  </si>
  <si>
    <t>PL inform STE to repair the SDS</t>
  </si>
  <si>
    <t>ATCAL two wires are reversed. PD repaired._x000D_
ATCAL线接反。PD修复</t>
  </si>
  <si>
    <t>TIC contactor open and close repeatedly as the train_x000D_
get DC 600V from rail power and the EB loop is_x000D_
established. Known software issue on prototype cars._x000D_
Siemens load one buff to solve this issue temporarily._x000D_
Need new version software to solve permanently._x000D_
Donot influential test, just record it.</t>
  </si>
  <si>
    <t>Siemens upload one buff.</t>
  </si>
  <si>
    <t>ANS doesn't work. Need STE to troubleshoot_x000D_
1/14/2022 After key on the train on 7014 and turn_x000D_
AGC switch back to normal from bypass, ANS work_x000D_
normally.</t>
  </si>
  <si>
    <t>CS to inform STE to troubleshoot</t>
  </si>
  <si>
    <t>正常情况，车辆获得牵引使能的条件是登录TOTS_x000D_
。试验大纲要求通过牵引PTU修改设置使车无条件_x000D_
获得牵引使能。牵引软件问题。_x000D_
Normally train can achieve propulsion enable only_x000D_
after log in TOTS. Test procedure require the_x000D_
condition can be removed by propulsion PTU to let_x000D_
the train achieve propulsion enable unconditionally._x000D_
Vendor software issue.</t>
  </si>
  <si>
    <t>MC</t>
  </si>
  <si>
    <t>由于MC 在_x000D_
非OFF位置时CSTB_07与CSTB_02存在29V电压，从_x000D_
而导致ATC Decoder_x000D_
下黄指示灯亮,下黄应该灭。中心与司控器厂家分_x000D_
析原因，确定解决措施。原型车共性问题_x000D_
ATC decoder lower yellow is on and should be off as_x000D_
MC is not in the off position, there is 29V between_x000D_
CSTB_07 and CSTB_02 because of MC's fault. RD and_x000D_
MC Engineer analyze the root reason to find the_x000D_
solution._x000D_
1/18/2022: RD sent Email to WPT.</t>
  </si>
  <si>
    <t>RD to find the cause with vendor</t>
  </si>
  <si>
    <t>7013 Axle 4 caliper connector continuity test failed_x000D_
again. See the item 44. Filed service will check it 1/18._x000D_
WPT should analyze why DBU status test failed again_x000D_
after slack adjustment._x000D_
1/18/2022 It's caused by mechanical issue, the white_x000D_
plastic plunger with spring cannot hit the switch. This_x000D_
DBU needs to be replaced to return WPT facility._x000D_
制动状态反馈错误，同问题项44。WPT_x000D_
现车查看后发现内部带弹簧的作动杆无法准确触发_x000D_
开关触点。该DBU需返回WPT。</t>
  </si>
  <si>
    <t>QA to issue NNP</t>
  </si>
  <si>
    <t>312101</t>
  </si>
  <si>
    <t>网络系统试验WDL电源指示灯要求亮绿灯，现车亮_x000D_
黄灯。(QT)_x000D_
During Network system test, WDL power indicator_x000D_
light is yellow and should be green._x000D_
cta didn't provide configuration file.</t>
  </si>
  <si>
    <t>RD to request configuration file from CTA</t>
  </si>
  <si>
    <t>CAA Data Fault is found in reviewing the log from our_x000D_
ATC test. Told SRA and SRA is investigating._x000D_
1/19/2022 SRA Cheryl Benek confirmed CAA Data_x000D_
Faults in this log are part of the normal ATC start‐up_x000D_
process.</t>
  </si>
  <si>
    <t>TQ inform SRA to reply</t>
  </si>
  <si>
    <t>SRA Cheryl Benek Email</t>
  </si>
  <si>
    <t>转向架待更换，主动悬挂管路未连接，制动功能检_x000D_
查及主动悬挂试验未做。仅记录_x000D_
Four trucks will be swapped and active suspension_x000D_
pipeline are not connected, brake function test and_x000D_
active suspension test are delayed.</t>
  </si>
  <si>
    <t>SCU无法上电，电源插头接线及电压正常，判定为_x000D_
设备问题。(S/N:92270/00122)_x000D_
SCU cannot turn on, and the power plug voltage is_x000D_
normal. SCU needs to be replaced.(S/N:92270/00122)_x000D_
1/18/2022：PD replaced it with new one. Verified,_x000D_
OK.</t>
  </si>
  <si>
    <t>QA to issue NNp for PD to get a new part</t>
  </si>
  <si>
    <t>PD replaced it with new one. Verified, OK.</t>
  </si>
  <si>
    <t>NNP20220118NPLB‐1</t>
  </si>
  <si>
    <t>92270‐00122</t>
  </si>
  <si>
    <t>92270‐00134</t>
  </si>
  <si>
    <t>PL to inform vendor to analyze</t>
  </si>
  <si>
    <t>TOTS is offline frequently. And QT Engineer request to_x000D_
replace it and return it to QT for further analysis._x000D_
1/21/2022 PD replaced it and QT updated. CS verified.</t>
  </si>
  <si>
    <t>PL to inform vendor to provide new part</t>
  </si>
  <si>
    <t>CS Verified</t>
  </si>
  <si>
    <t>NNP20220121npqt‐1</t>
  </si>
  <si>
    <t>1184F01 Q01074</t>
  </si>
  <si>
    <t>1184F01 Q01065</t>
  </si>
  <si>
    <t>3门右侧切除开关紧，需厂家维修。_x000D_
Door 3 MCOSR is tight. Need field service to repair.</t>
  </si>
  <si>
    <t>1/21/2022</t>
  </si>
  <si>
    <t>Door 3 open and close forces are both about 53lb_x000D_
over the standard 45lb._x000D_
PD adjusted the seal bar. The test passed.</t>
  </si>
  <si>
    <t>11/21/2022</t>
  </si>
  <si>
    <t>PD repaired.</t>
  </si>
  <si>
    <t>21.1, 21.2, 21.3, 21.4, 21.5, 21.6, 21.7, 32.1, 32.2, 32.3</t>
  </si>
  <si>
    <t>2/2/2022</t>
  </si>
  <si>
    <t>ACU box has rust on underside.</t>
  </si>
  <si>
    <t>QA to issue RRN</t>
  </si>
  <si>
    <t>2/3/2022</t>
  </si>
  <si>
    <t>7015 - 7016</t>
  </si>
  <si>
    <t>HPU connectors have no lables, vendor's issue.</t>
  </si>
  <si>
    <t>WPT</t>
  </si>
  <si>
    <t>Jumper  Switch cannot be turn to Non-cab side. Center lock shall be changed.</t>
  </si>
  <si>
    <t>7015 TBR 2,3,4 and 7016 TBR 3,4,5 miss name plate. Vendor's issue</t>
  </si>
  <si>
    <t>PD to help to repair</t>
  </si>
  <si>
    <t>PD dosen't complete the oil filling. HPCU level doesn't meet the requirement and OUT1 and OUT2 pipes are not connected.</t>
  </si>
  <si>
    <t>2/8/2022</t>
  </si>
  <si>
    <t xml:space="preserve">[Jbatt_SensorFail]. Fault is clear after reset APS twice.
Sent the issue and APS log to PT for further
investigating.
APS的BC模块有[Jbatt_SensorFail]引发的白灯故障，
重启APS两次后故障清除。已将问题和log发厂家分
析。
1/19/2022:Happened again ias power on the train first
time in the morning. APS field service checked the
battery sensor and the APS interior wire connection.
Didn't find any issue. And trid to repeat the issue by
resetting the battery switch, but it didn't happen
again.
早上第一次通电问题再次出现。APS厂家售后检查
了蓄电池传感器和相关接线，未发现异常。尝试重
置蓄电池，模拟上电工况，但问题未重现。
1/24/2022 Updated software again but the issue still
happened. Field service changed the A411/A70 board
which is removed from APS (S/N 6820520020).
software is updated. Waiting to verify it again next
morning. 
1/25/2022 Tested twice and no fault. </t>
  </si>
  <si>
    <t>RD will release EN for it.</t>
  </si>
  <si>
    <t>Windshield heater thermostat needs to be moved to
right. It's in the middle of the FVC view.
前窗玻璃加热传感器需要向右挪，目前正好在前视
摄像头的镜头中间
1/5/2022 Vendor's issue. QA to issue NNP to NASG
1/10/2022 Need RD to provide drawings
1/20/2022 PL informed vendor to update the drawing
and make a plan to repair, but no response yet.
2/3/2022:RD to release notification for PD to adjust them on first 12 trians.</t>
  </si>
  <si>
    <t>RD to issue EN per production meeting minutes</t>
  </si>
  <si>
    <t>One part of SDL1 is dark as turn it on. PD helped to check inside and found one loose connector.After replug the connector, issue is resolved.</t>
  </si>
  <si>
    <t>PD to help to check inside</t>
  </si>
  <si>
    <t>7016 TIC and HVAC cannot be turn on. 7015 TBL2-3 wire B1D_04 is loose, PD helped to fix it. 7016 TIC and HVAC can be turn on.</t>
  </si>
  <si>
    <t>PD to help to fix</t>
  </si>
  <si>
    <t>PD to help</t>
  </si>
  <si>
    <t>SIGMA</t>
  </si>
  <si>
    <t>QT</t>
  </si>
  <si>
    <t>One part of  SDL2 is dark as turn it on. Need to check interior._x000D_
02/04: PD repluged the interior loose connector and issue is resolved.</t>
  </si>
  <si>
    <t>PD helped to close</t>
  </si>
  <si>
    <t>PT</t>
  </si>
  <si>
    <t>Inform field service to replace the a407 module.</t>
  </si>
  <si>
    <t>PD installed the overdue batteries on both cars. Replaced with good ones.</t>
  </si>
  <si>
    <t>PD to replace the batteries</t>
  </si>
  <si>
    <t>PD replaced the batteries</t>
  </si>
  <si>
    <t>As apply 37.5V on B+ on BDS, B1A voltage dropped to 30.87V which should be no voltage drop. Field service checked the STP04 has voltage drop. A407 DC output EMI module needs to be replaced.</t>
  </si>
  <si>
    <t>ER loop can not be established. CRP ER1 C1 (160E_01) contact is not seated in position. After insert it, the issue is resolved.</t>
  </si>
  <si>
    <t>Non-cab side headlight can not be turn on. One pin of the headlight connector is loose. PD repaired.</t>
  </si>
  <si>
    <t>2/7/2022</t>
  </si>
  <si>
    <t>7016 non-cab side accent light has one section not clear. Need to be replaced.</t>
  </si>
  <si>
    <t>PD to replace it</t>
  </si>
  <si>
    <t>NNP20220207NPQT-1</t>
  </si>
  <si>
    <t>Non-cab side tail light cannot be turn on. One pin of light-side connector is not seated in position. Repaired by PD.
非司机室侧尾灯不亮。设备侧缩针导致。</t>
  </si>
  <si>
    <t>7016 ANS P11 is connected to P12 receptacle. Fixed by PD.</t>
  </si>
  <si>
    <t>PD FIXED</t>
  </si>
  <si>
    <t>7015车ACSU的J11插头B针歪。ACSU J11 pin B is bent. Repaired by PD.</t>
  </si>
  <si>
    <t>CMB 板卡状态无法在PTU查看,Health 指示灯
CMB board status cannot be checked by PTU.
R&amp;D replied next version software will solve this issue.</t>
  </si>
  <si>
    <t>CMB 板卡状态无法在PTU查看,Health 指示灯_x000D_
CMB board status cannot be checked by PTU._x000D_
R&amp;D replied next version software will solve this issue.Same issue with train 7</t>
  </si>
  <si>
    <t>PL to inform vendor to provide new software</t>
  </si>
  <si>
    <t>车外开门指示灯（ODL）在车门关闭，车辆未投主
控时，微亮。按照厂家图纸，应有二极管装在TB1‐
8/9之间，但现车该处无没有二极管也没有线。
ODLs are dim and should be off as the MC key off and
doors are closed. Per VSRS drawing, one diode should
be installed between TB1‐8 and 9 to connect with
ODL and DCU, but no diode or wires on TB1‐8 and 9.
1/18/2022: VSRS Mohamed replied it is FMI (FMI7720‐
019). Diodes will shipped to field service this week for
FMI.
2/2/2022 VAPOR installed the diode but car-side wire need to be changed too. RD will release EN for it.
2/4/2022 Adding wire will need too much rework. R&amp;D is tring to find a new solution</t>
  </si>
  <si>
    <t>温度控制操作 参数ACU Temperature Controller
Operating Parameters test failed. SIGMA Engineers
and RD are analyzing.</t>
  </si>
  <si>
    <t>RD to issue EN</t>
  </si>
  <si>
    <t>2/15/2022</t>
  </si>
  <si>
    <t>NNP20220207npvp-2</t>
  </si>
  <si>
    <t>ODLs are dim and should be off as the MC key off and
doors are closed.  RD needs to update drawing. PD to add wire. Same issue with train 7 103</t>
  </si>
  <si>
    <t>7016 WSHI and DEI wires switched. PD and vendor's issue. PD fixed. Need to verify</t>
  </si>
  <si>
    <t>NNP20220207nplum-3</t>
  </si>
  <si>
    <t>NNP20220207nplum-4</t>
  </si>
  <si>
    <t>The VS3-X11 port indicator does not turn on. Car-side wire connection is verified and correct. Connect the VS3-
X11 connector to port X13 , the port indicator is on. PD to replace the VS.
VS3-X11口坏，线路正确，设备指示灯不亮。需换件
2/8/2022 replaced by PD. Software updated by CS.</t>
  </si>
  <si>
    <t>QTC118F04Q00021</t>
  </si>
  <si>
    <t>QTC118F04Q00074</t>
  </si>
  <si>
    <t>PL to get a spare part</t>
  </si>
  <si>
    <t>7016 Door 4 blue and red bulbs were swapped. Repaired by CS.</t>
  </si>
  <si>
    <t>repaired by CS</t>
  </si>
  <si>
    <t>7015 ODL3 has no red bulb.  Repaired by PD</t>
  </si>
  <si>
    <t>QA to issue NNP. PL to get a new part</t>
  </si>
  <si>
    <t>7015 APS （P/N 40000407680, S/N 6821140030） Dead battery start failed. And as press IMS, DBS module A103 X5-1 and 10 have no output voltage.</t>
  </si>
  <si>
    <t>2/9/2022</t>
  </si>
  <si>
    <t>PD to adjust the insulation</t>
  </si>
  <si>
    <t xml:space="preserve">PL to inform </t>
  </si>
  <si>
    <t>Door 1 motor receptacle pin A and B are not seated well, which caused the door cannot be controlled to open or close by DCB.
门1电机插座的A、B针缩针。无法集控开关门
2/8/2022 Field service repaired. CS verified.</t>
  </si>
  <si>
    <t xml:space="preserve">7015 door 2 and 4 have noise from motor coupling. </t>
  </si>
  <si>
    <t>field service to repair</t>
  </si>
  <si>
    <t>field service repaired</t>
  </si>
  <si>
    <t>2/10/2022</t>
  </si>
  <si>
    <t>7015 non-cab side accent light is red as it should be white. The light-side connector pin 3 and 4 are reversed. Needs repair.
2/9/2022 PD repaired</t>
  </si>
  <si>
    <t>7015 Door 1 requires about 88 lb.f to open. One black bumper on door operator is missed. Need field service to repair.</t>
  </si>
  <si>
    <t>7015 non-cab side accent light has one section not clear.Need to be replaced.</t>
  </si>
  <si>
    <t>NNP20220209NPPT-1</t>
  </si>
  <si>
    <t>Inform field service to repair</t>
  </si>
  <si>
    <t>Wiper catching insulation
2/9/2022 PD fixed.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</si>
</sst>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2"/>
      <color theme="0"/>
      <name val="Calibri"/>
      <family val="2"/>
      <scheme val="minor"/>
    </font>
    <font>
      <sz val="11"/>
      <name val="Calibri"/>
      <family val="2"/>
      <scheme val="minor"/>
    </font>
    <font>
      <b/>
      <sz val="16"/>
      <color theme="1"/>
      <name val="Calibri"/>
      <family val="2"/>
      <scheme val="minor"/>
    </font>
    <font>
      <sz val="12"/>
      <color theme="1"/>
      <name val="Calibri"/>
      <family val="2"/>
      <scheme val="minor"/>
    </font>
    <font>
      <b/>
      <sz val="12"/>
      <color theme="1"/>
      <name val="Calibri"/>
      <family val="2"/>
      <scheme val="minor"/>
    </font>
    <font>
      <sz val="8"/>
      <name val="Calibri"/>
      <family val="2"/>
      <scheme val="minor"/>
    </font>
    <font>
      <b/>
      <sz val="11"/>
      <color theme="1"/>
      <name val="Microsoft YaHei UI"/>
      <family val="2"/>
      <charset val="134"/>
    </font>
    <font>
      <sz val="11"/>
      <color rgb="FF3F3F76"/>
      <name val="Calibri"/>
      <family val="2"/>
      <scheme val="minor"/>
    </font>
    <font>
      <sz val="11"/>
      <color rgb="FF000000"/>
      <name val="Calibri"/>
      <family val="2"/>
    </font>
  </fonts>
  <fills count="24">
    <fill>
      <patternFill patternType="none"/>
    </fill>
    <fill>
      <patternFill patternType="gray125"/>
    </fill>
    <fill>
      <patternFill patternType="solid">
        <fgColor theme="9" tint="0.79998168889431442"/>
        <bgColor indexed="64"/>
      </patternFill>
    </fill>
    <fill>
      <patternFill patternType="solid">
        <fgColor theme="2" tint="-9.9978637043366805E-2"/>
        <bgColor indexed="64"/>
      </patternFill>
    </fill>
    <fill>
      <patternFill patternType="solid">
        <fgColor theme="1" tint="0.249977111117893"/>
        <bgColor indexed="64"/>
      </patternFill>
    </fill>
    <fill>
      <patternFill patternType="solid">
        <fgColor theme="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rgb="FFFFCC99"/>
      </patternFill>
    </fill>
    <fill>
      <patternFill patternType="solid">
        <fgColor theme="5" tint="0.79998168889431442"/>
        <bgColor indexed="64"/>
      </patternFill>
    </fill>
    <fill>
      <patternFill patternType="solid">
        <fgColor theme="1" tint="0.14999847407452621"/>
        <bgColor indexed="64"/>
      </patternFill>
    </fill>
    <fill>
      <patternFill patternType="solid">
        <fgColor rgb="FF00FF00"/>
        <bgColor indexed="64"/>
      </patternFill>
    </fill>
    <fill>
      <patternFill patternType="solid">
        <fgColor rgb="FFD0CECE"/>
        <bgColor indexed="64"/>
      </patternFill>
    </fill>
    <fill>
      <patternFill patternType="solid">
        <fgColor rgb="FF404040"/>
        <bgColor indexed="64"/>
      </patternFill>
    </fill>
    <fill>
      <patternFill patternType="solid">
        <fgColor rgb="FF92D050"/>
        <bgColor indexed="64"/>
      </patternFill>
    </fill>
    <fill>
      <patternFill patternType="solid">
        <fgColor rgb="FF00B050"/>
        <bgColor indexed="64"/>
      </patternFill>
    </fill>
  </fills>
  <borders count="39">
    <border>
      <left/>
      <right/>
      <top/>
      <bottom/>
      <diagonal/>
    </border>
    <border>
      <left style="thin">
        <color auto="1"/>
      </left>
      <right style="thin">
        <color auto="1"/>
      </right>
      <top style="thin">
        <color auto="1"/>
      </top>
      <bottom style="thin">
        <color auto="1"/>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ck">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n">
        <color auto="1"/>
      </left>
      <right style="thick">
        <color auto="1"/>
      </right>
      <top style="thin">
        <color auto="1"/>
      </top>
      <bottom style="thin">
        <color auto="1"/>
      </bottom>
      <diagonal/>
    </border>
    <border>
      <left style="thick">
        <color auto="1"/>
      </left>
      <right style="thick">
        <color auto="1"/>
      </right>
      <top style="thick">
        <color auto="1"/>
      </top>
      <bottom style="thick">
        <color auto="1"/>
      </bottom>
      <diagonal/>
    </border>
    <border>
      <left style="thin">
        <color rgb="FF7F7F7F"/>
      </left>
      <right style="thin">
        <color rgb="FF7F7F7F"/>
      </right>
      <top style="thin">
        <color rgb="FF7F7F7F"/>
      </top>
      <bottom style="thin">
        <color rgb="FF7F7F7F"/>
      </bottom>
      <diagonal/>
    </border>
    <border>
      <left style="thick">
        <color indexed="64"/>
      </left>
      <right style="thin">
        <color auto="1"/>
      </right>
      <top/>
      <bottom style="thick">
        <color indexed="64"/>
      </bottom>
      <diagonal/>
    </border>
    <border>
      <left style="thin">
        <color auto="1"/>
      </left>
      <right style="thin">
        <color auto="1"/>
      </right>
      <top/>
      <bottom style="thick">
        <color indexed="64"/>
      </bottom>
      <diagonal/>
    </border>
    <border>
      <left style="thin">
        <color auto="1"/>
      </left>
      <right style="thick">
        <color indexed="64"/>
      </right>
      <top/>
      <bottom style="thick">
        <color indexed="64"/>
      </bottom>
      <diagonal/>
    </border>
    <border>
      <left style="thin">
        <color auto="1"/>
      </left>
      <right style="thin">
        <color auto="1"/>
      </right>
      <top style="thin">
        <color auto="1"/>
      </top>
      <bottom/>
      <diagonal/>
    </border>
    <border>
      <left style="thin">
        <color auto="1"/>
      </left>
      <right style="thin">
        <color auto="1"/>
      </right>
      <top style="thick">
        <color indexed="64"/>
      </top>
      <bottom style="thick">
        <color indexed="64"/>
      </bottom>
      <diagonal/>
    </border>
    <border>
      <left/>
      <right style="thin">
        <color auto="1"/>
      </right>
      <top/>
      <bottom style="thick">
        <color indexed="64"/>
      </bottom>
      <diagonal/>
    </border>
    <border>
      <left style="thick">
        <color auto="1"/>
      </left>
      <right style="thin">
        <color auto="1"/>
      </right>
      <top/>
      <bottom style="thin">
        <color auto="1"/>
      </bottom>
      <diagonal/>
    </border>
    <border>
      <left style="thin">
        <color auto="1"/>
      </left>
      <right/>
      <top/>
      <bottom style="thin">
        <color auto="1"/>
      </bottom>
      <diagonal/>
    </border>
    <border>
      <left style="thin">
        <color auto="1"/>
      </left>
      <right style="thick">
        <color auto="1"/>
      </right>
      <top/>
      <bottom style="thin">
        <color auto="1"/>
      </bottom>
      <diagonal/>
    </border>
    <border>
      <left style="thin">
        <color auto="1"/>
      </left>
      <right/>
      <top/>
      <bottom/>
      <diagonal/>
    </border>
  </borders>
  <cellStyleXfs count="2">
    <xf numFmtId="0" fontId="0" fillId="0" borderId="0"/>
    <xf numFmtId="0" fontId="9" fillId="16" borderId="28" applyNumberFormat="0" applyAlignment="0" applyProtection="0"/>
  </cellStyleXfs>
  <cellXfs count="111">
    <xf numFmtId="0" fontId="0" fillId="0" borderId="0" xfId="0"/>
    <xf numFmtId="0" fontId="0" fillId="0" borderId="0" xfId="0" applyBorder="1"/>
    <xf numFmtId="0" fontId="0" fillId="0" borderId="3" xfId="0" applyBorder="1"/>
    <xf numFmtId="0" fontId="0" fillId="0" borderId="2" xfId="0" applyBorder="1"/>
    <xf numFmtId="0" fontId="0" fillId="0" borderId="4" xfId="0" applyBorder="1"/>
    <xf numFmtId="0" fontId="0" fillId="0" borderId="5" xfId="0" applyBorder="1"/>
    <xf numFmtId="0" fontId="0" fillId="0" borderId="6" xfId="0" applyBorder="1"/>
    <xf numFmtId="0" fontId="0" fillId="3" borderId="1" xfId="0" applyFill="1" applyBorder="1"/>
    <xf numFmtId="0" fontId="0" fillId="3" borderId="7" xfId="0" applyFill="1" applyBorder="1"/>
    <xf numFmtId="0" fontId="0" fillId="3" borderId="13" xfId="0" applyFill="1" applyBorder="1"/>
    <xf numFmtId="0" fontId="0" fillId="3" borderId="14" xfId="0" applyFill="1" applyBorder="1"/>
    <xf numFmtId="0" fontId="0" fillId="3" borderId="15" xfId="0" applyFill="1" applyBorder="1"/>
    <xf numFmtId="0" fontId="2" fillId="4" borderId="9" xfId="0" applyFont="1" applyFill="1" applyBorder="1"/>
    <xf numFmtId="0" fontId="2" fillId="4" borderId="10" xfId="0" applyFont="1" applyFill="1" applyBorder="1"/>
    <xf numFmtId="0" fontId="2" fillId="4" borderId="11" xfId="0" applyFont="1" applyFill="1" applyBorder="1"/>
    <xf numFmtId="0" fontId="2" fillId="4" borderId="12" xfId="0" applyFont="1" applyFill="1" applyBorder="1"/>
    <xf numFmtId="0" fontId="2" fillId="4" borderId="14" xfId="0" applyFont="1" applyFill="1" applyBorder="1"/>
    <xf numFmtId="0" fontId="2" fillId="4" borderId="1" xfId="0" applyFont="1" applyFill="1" applyBorder="1"/>
    <xf numFmtId="0" fontId="2" fillId="4" borderId="7" xfId="0" applyFont="1" applyFill="1" applyBorder="1"/>
    <xf numFmtId="0" fontId="2" fillId="4" borderId="8" xfId="0" applyFont="1" applyFill="1" applyBorder="1"/>
    <xf numFmtId="0" fontId="0" fillId="3" borderId="19" xfId="0" applyFill="1" applyBorder="1"/>
    <xf numFmtId="0" fontId="5" fillId="2" borderId="1" xfId="0" applyFont="1" applyFill="1" applyBorder="1"/>
    <xf numFmtId="0" fontId="6" fillId="6" borderId="15" xfId="0" applyFont="1" applyFill="1" applyBorder="1" applyAlignment="1">
      <alignment horizontal="center"/>
    </xf>
    <xf numFmtId="0" fontId="6" fillId="6" borderId="24" xfId="0" applyFont="1" applyFill="1" applyBorder="1" applyAlignment="1">
      <alignment horizontal="center"/>
    </xf>
    <xf numFmtId="0" fontId="6" fillId="6" borderId="25" xfId="0" applyFont="1" applyFill="1" applyBorder="1" applyAlignment="1">
      <alignment horizontal="center"/>
    </xf>
    <xf numFmtId="0" fontId="5" fillId="2" borderId="12" xfId="0" applyFont="1" applyFill="1" applyBorder="1"/>
    <xf numFmtId="0" fontId="5" fillId="2" borderId="26" xfId="0" applyFont="1" applyFill="1" applyBorder="1"/>
    <xf numFmtId="0" fontId="5" fillId="2" borderId="15" xfId="0" applyFont="1" applyFill="1" applyBorder="1"/>
    <xf numFmtId="0" fontId="5" fillId="2" borderId="25" xfId="0" applyFont="1" applyFill="1" applyBorder="1"/>
    <xf numFmtId="0" fontId="5" fillId="7" borderId="9" xfId="0" applyFont="1" applyFill="1" applyBorder="1"/>
    <xf numFmtId="0" fontId="5" fillId="7" borderId="13" xfId="0" applyFont="1" applyFill="1" applyBorder="1"/>
    <xf numFmtId="0" fontId="5" fillId="7" borderId="24" xfId="0" applyFont="1" applyFill="1" applyBorder="1"/>
    <xf numFmtId="0" fontId="0" fillId="3" borderId="26" xfId="0" applyFill="1" applyBorder="1"/>
    <xf numFmtId="0" fontId="0" fillId="2" borderId="1" xfId="0" applyFill="1" applyBorder="1" applyAlignment="1">
      <alignment horizontal="center" vertical="center" wrapText="1"/>
    </xf>
    <xf numFmtId="14" fontId="0" fillId="0" borderId="0" xfId="0" applyNumberFormat="1"/>
    <xf numFmtId="0" fontId="1" fillId="8" borderId="1" xfId="0" applyFont="1" applyFill="1" applyBorder="1"/>
    <xf numFmtId="0" fontId="0" fillId="8" borderId="1" xfId="0" applyFill="1" applyBorder="1"/>
    <xf numFmtId="0" fontId="0" fillId="9" borderId="1" xfId="0" applyFill="1" applyBorder="1"/>
    <xf numFmtId="0" fontId="1" fillId="9" borderId="1" xfId="0" applyFont="1" applyFill="1" applyBorder="1"/>
    <xf numFmtId="0" fontId="0" fillId="10" borderId="1" xfId="0" applyFill="1" applyBorder="1"/>
    <xf numFmtId="0" fontId="1" fillId="2" borderId="1" xfId="0" applyFont="1" applyFill="1" applyBorder="1"/>
    <xf numFmtId="0" fontId="3" fillId="2" borderId="1" xfId="0" applyFont="1" applyFill="1" applyBorder="1"/>
    <xf numFmtId="0" fontId="0" fillId="11" borderId="1" xfId="0" applyFill="1" applyBorder="1"/>
    <xf numFmtId="0" fontId="1" fillId="12" borderId="1" xfId="0" applyFont="1" applyFill="1" applyBorder="1" applyAlignment="1">
      <alignment horizontal="center"/>
    </xf>
    <xf numFmtId="0" fontId="0" fillId="11" borderId="0" xfId="0" applyFill="1" applyBorder="1"/>
    <xf numFmtId="0" fontId="0" fillId="14" borderId="1" xfId="0" applyFill="1" applyBorder="1"/>
    <xf numFmtId="0" fontId="0" fillId="2" borderId="20" xfId="0" applyFill="1" applyBorder="1" applyAlignment="1">
      <alignment horizontal="center"/>
    </xf>
    <xf numFmtId="0" fontId="1" fillId="2" borderId="27" xfId="0" applyFont="1" applyFill="1" applyBorder="1" applyAlignment="1">
      <alignment horizontal="center" vertical="center"/>
    </xf>
    <xf numFmtId="22" fontId="9" fillId="16" borderId="28" xfId="1" applyNumberFormat="1"/>
    <xf numFmtId="0" fontId="1" fillId="10" borderId="1" xfId="0" applyFont="1" applyFill="1" applyBorder="1"/>
    <xf numFmtId="0" fontId="0" fillId="10" borderId="1" xfId="0" applyFont="1" applyFill="1" applyBorder="1"/>
    <xf numFmtId="0" fontId="8" fillId="13" borderId="29" xfId="0" applyFont="1" applyFill="1" applyBorder="1" applyAlignment="1">
      <alignment horizontal="center" vertical="center" wrapText="1"/>
    </xf>
    <xf numFmtId="0" fontId="8" fillId="13" borderId="30" xfId="0" applyFont="1" applyFill="1" applyBorder="1" applyAlignment="1">
      <alignment horizontal="center" vertical="center" wrapText="1"/>
    </xf>
    <xf numFmtId="0" fontId="8" fillId="13" borderId="31" xfId="0" applyFont="1" applyFill="1" applyBorder="1" applyAlignment="1">
      <alignment horizontal="center" vertical="center" wrapText="1"/>
    </xf>
    <xf numFmtId="0" fontId="8" fillId="13" borderId="30" xfId="0" applyNumberFormat="1" applyFont="1" applyFill="1" applyBorder="1" applyAlignment="1">
      <alignment horizontal="center" vertical="center" wrapText="1"/>
    </xf>
    <xf numFmtId="0" fontId="1" fillId="17" borderId="1" xfId="0" applyFont="1" applyFill="1" applyBorder="1"/>
    <xf numFmtId="0" fontId="0" fillId="17" borderId="1" xfId="0" applyFill="1" applyBorder="1"/>
    <xf numFmtId="0" fontId="5" fillId="2" borderId="20" xfId="0" applyFont="1" applyFill="1" applyBorder="1" applyAlignment="1">
      <alignment wrapText="1"/>
    </xf>
    <xf numFmtId="0" fontId="5" fillId="2" borderId="12" xfId="0" applyFont="1" applyFill="1" applyBorder="1" applyAlignment="1">
      <alignment wrapText="1"/>
    </xf>
    <xf numFmtId="0" fontId="8" fillId="13" borderId="34" xfId="0" applyFont="1" applyFill="1" applyBorder="1" applyAlignment="1">
      <alignment horizontal="center" vertical="center" wrapText="1"/>
    </xf>
    <xf numFmtId="0" fontId="8" fillId="13" borderId="33" xfId="0" applyFont="1" applyFill="1" applyBorder="1" applyAlignment="1">
      <alignment horizontal="center" vertical="center" wrapText="1"/>
    </xf>
    <xf numFmtId="0" fontId="0" fillId="15" borderId="0" xfId="0" applyFill="1" applyBorder="1" applyAlignment="1">
      <alignment horizontal="center" wrapText="1"/>
    </xf>
    <xf numFmtId="0" fontId="0" fillId="0" borderId="1" xfId="0" applyBorder="1" applyAlignment="1">
      <alignment horizontal="center" wrapText="1"/>
    </xf>
    <xf numFmtId="0" fontId="0" fillId="0" borderId="32" xfId="0" applyBorder="1" applyAlignment="1">
      <alignment horizontal="center" wrapText="1"/>
    </xf>
    <xf numFmtId="14" fontId="0" fillId="0" borderId="1" xfId="0" applyNumberFormat="1" applyBorder="1" applyAlignment="1">
      <alignment horizontal="center" wrapText="1"/>
    </xf>
    <xf numFmtId="0" fontId="0" fillId="0" borderId="1" xfId="0" applyNumberFormat="1" applyBorder="1" applyAlignment="1">
      <alignment horizontal="center" wrapText="1"/>
    </xf>
    <xf numFmtId="0" fontId="0" fillId="0" borderId="32" xfId="0" applyNumberFormat="1" applyBorder="1" applyAlignment="1">
      <alignment horizontal="center" wrapText="1"/>
    </xf>
    <xf numFmtId="0" fontId="0" fillId="0" borderId="0" xfId="0" applyAlignment="1">
      <alignment horizontal="center"/>
    </xf>
    <xf numFmtId="0" fontId="2" fillId="18" borderId="9" xfId="0" applyFont="1" applyFill="1" applyBorder="1" applyAlignment="1">
      <alignment horizontal="center"/>
    </xf>
    <xf numFmtId="0" fontId="2" fillId="18" borderId="10" xfId="0" applyFont="1" applyFill="1" applyBorder="1" applyAlignment="1">
      <alignment horizontal="center"/>
    </xf>
    <xf numFmtId="0" fontId="2" fillId="18" borderId="11" xfId="0" applyFont="1" applyFill="1" applyBorder="1" applyAlignment="1">
      <alignment horizontal="center"/>
    </xf>
    <xf numFmtId="0" fontId="2" fillId="18" borderId="12" xfId="0" applyFont="1" applyFill="1" applyBorder="1" applyAlignment="1">
      <alignment horizontal="center"/>
    </xf>
    <xf numFmtId="0" fontId="2" fillId="4" borderId="35" xfId="0" applyFont="1" applyFill="1" applyBorder="1"/>
    <xf numFmtId="0" fontId="2" fillId="4" borderId="20" xfId="0" applyFont="1" applyFill="1" applyBorder="1"/>
    <xf numFmtId="0" fontId="2" fillId="4" borderId="36" xfId="0" applyFont="1" applyFill="1" applyBorder="1"/>
    <xf numFmtId="0" fontId="2" fillId="4" borderId="37" xfId="0" applyFont="1" applyFill="1" applyBorder="1"/>
    <xf numFmtId="0" fontId="2" fillId="18" borderId="14" xfId="0" applyFont="1" applyFill="1" applyBorder="1" applyAlignment="1">
      <alignment horizontal="center"/>
    </xf>
    <xf numFmtId="0" fontId="2" fillId="18" borderId="1" xfId="0" applyFont="1" applyFill="1" applyBorder="1" applyAlignment="1">
      <alignment horizontal="center"/>
    </xf>
    <xf numFmtId="0" fontId="2" fillId="18" borderId="7" xfId="0" applyFont="1" applyFill="1" applyBorder="1" applyAlignment="1">
      <alignment horizontal="center"/>
    </xf>
    <xf numFmtId="0" fontId="2" fillId="18" borderId="8" xfId="0" applyFont="1" applyFill="1" applyBorder="1" applyAlignment="1">
      <alignment horizontal="center"/>
    </xf>
    <xf numFmtId="0" fontId="0" fillId="20" borderId="13" xfId="0" applyFill="1" applyBorder="1"/>
    <xf numFmtId="0" fontId="0" fillId="14" borderId="7" xfId="0" applyFill="1" applyBorder="1"/>
    <xf numFmtId="0" fontId="0" fillId="20" borderId="19" xfId="0" applyFill="1" applyBorder="1"/>
    <xf numFmtId="0" fontId="0" fillId="20" borderId="1" xfId="0" applyFill="1" applyBorder="1"/>
    <xf numFmtId="0" fontId="0" fillId="20" borderId="7" xfId="0" applyFill="1" applyBorder="1"/>
    <xf numFmtId="0" fontId="0" fillId="13" borderId="1" xfId="0" applyFill="1" applyBorder="1"/>
    <xf numFmtId="0" fontId="0" fillId="19" borderId="1" xfId="0" applyFill="1" applyBorder="1"/>
    <xf numFmtId="0" fontId="0" fillId="20" borderId="26" xfId="0" applyFill="1" applyBorder="1"/>
    <xf numFmtId="0" fontId="0" fillId="20" borderId="14" xfId="0" applyFill="1" applyBorder="1"/>
    <xf numFmtId="0" fontId="2" fillId="21" borderId="14" xfId="0" applyFont="1" applyFill="1" applyBorder="1"/>
    <xf numFmtId="0" fontId="0" fillId="19" borderId="13" xfId="0" applyFill="1" applyBorder="1"/>
    <xf numFmtId="0" fontId="0" fillId="14" borderId="26" xfId="0" applyFill="1" applyBorder="1"/>
    <xf numFmtId="0" fontId="3" fillId="0" borderId="1" xfId="0" applyFont="1" applyBorder="1" applyAlignment="1">
      <alignment horizontal="center" wrapText="1"/>
    </xf>
    <xf numFmtId="0" fontId="0" fillId="19" borderId="7" xfId="0" applyFill="1" applyBorder="1"/>
    <xf numFmtId="0" fontId="0" fillId="19" borderId="8" xfId="0" applyFill="1" applyBorder="1"/>
    <xf numFmtId="0" fontId="0" fillId="19" borderId="14" xfId="0" applyFill="1" applyBorder="1"/>
    <xf numFmtId="0" fontId="0" fillId="14" borderId="14" xfId="0" applyFill="1" applyBorder="1"/>
    <xf numFmtId="0" fontId="0" fillId="14" borderId="13" xfId="0" applyFill="1" applyBorder="1"/>
    <xf numFmtId="0" fontId="0" fillId="22" borderId="20" xfId="0" applyFill="1" applyBorder="1" applyAlignment="1">
      <alignment horizontal="center" wrapText="1"/>
    </xf>
    <xf numFmtId="14" fontId="0" fillId="22" borderId="20" xfId="0" applyNumberFormat="1" applyFill="1" applyBorder="1" applyAlignment="1">
      <alignment horizontal="center" wrapText="1"/>
    </xf>
    <xf numFmtId="0" fontId="0" fillId="22" borderId="20" xfId="0" applyNumberFormat="1" applyFill="1" applyBorder="1" applyAlignment="1">
      <alignment horizontal="center" wrapText="1"/>
    </xf>
    <xf numFmtId="0" fontId="0" fillId="22" borderId="0" xfId="0" applyFill="1"/>
    <xf numFmtId="0" fontId="0" fillId="23" borderId="1" xfId="0" applyFill="1" applyBorder="1" applyAlignment="1">
      <alignment horizontal="center" wrapText="1"/>
    </xf>
    <xf numFmtId="0" fontId="2" fillId="5" borderId="16" xfId="0" applyFont="1" applyFill="1" applyBorder="1" applyAlignment="1">
      <alignment horizontal="center"/>
    </xf>
    <xf numFmtId="0" fontId="2" fillId="5" borderId="17" xfId="0" applyFont="1" applyFill="1" applyBorder="1" applyAlignment="1">
      <alignment horizontal="center"/>
    </xf>
    <xf numFmtId="0" fontId="2" fillId="5" borderId="18" xfId="0" applyFont="1" applyFill="1" applyBorder="1" applyAlignment="1">
      <alignment horizontal="center"/>
    </xf>
    <xf numFmtId="0" fontId="4" fillId="6" borderId="23" xfId="0" applyFont="1" applyFill="1" applyBorder="1" applyAlignment="1">
      <alignment horizontal="center"/>
    </xf>
    <xf numFmtId="0" fontId="4" fillId="6" borderId="21" xfId="0" applyFont="1" applyFill="1" applyBorder="1" applyAlignment="1">
      <alignment horizontal="center"/>
    </xf>
    <xf numFmtId="0" fontId="4" fillId="6" borderId="22" xfId="0" applyFont="1" applyFill="1" applyBorder="1" applyAlignment="1">
      <alignment horizontal="center"/>
    </xf>
    <xf numFmtId="0" fontId="1" fillId="0" borderId="38" xfId="0" applyFont="1" applyBorder="1" applyAlignment="1">
      <alignment horizontal="left"/>
    </xf>
    <xf numFmtId="0" fontId="1" fillId="0" borderId="0" xfId="0" applyFont="1" applyBorder="1" applyAlignment="1">
      <alignment horizontal="left"/>
    </xf>
  </cellXfs>
  <cellStyles count="2">
    <cellStyle name="Input" xfId="1" builtinId="20"/>
    <cellStyle name="Normal" xfId="0" builtinId="0"/>
  </cellStyles>
  <dxfs count="27">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0" formatCode="Genera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border outline="0">
        <top style="thick">
          <color indexed="64"/>
        </top>
        <bottom style="thin">
          <color auto="1"/>
        </bottom>
      </border>
    </dxf>
    <dxf>
      <alignment horizontal="center" vertical="bottom" textRotation="0" wrapText="1" indent="0" justifyLastLine="0" shrinkToFit="0" readingOrder="0"/>
    </dxf>
    <dxf>
      <border outline="0">
        <bottom style="thick">
          <color indexed="64"/>
        </bottom>
      </border>
    </dxf>
    <dxf>
      <font>
        <b/>
        <i val="0"/>
        <strike val="0"/>
        <condense val="0"/>
        <extend val="0"/>
        <outline val="0"/>
        <shadow val="0"/>
        <u val="none"/>
        <vertAlign val="baseline"/>
        <sz val="11"/>
        <color theme="1"/>
        <name val="Microsoft YaHei UI"/>
        <family val="2"/>
        <charset val="134"/>
        <scheme val="none"/>
      </font>
      <fill>
        <patternFill patternType="solid">
          <fgColor indexed="64"/>
          <bgColor theme="2" tint="-0.249977111117893"/>
        </patternFill>
      </fill>
      <alignment horizontal="center" vertical="center" textRotation="0" wrapText="1" indent="0" justifyLastLine="0" shrinkToFit="0" readingOrder="0"/>
      <border diagonalUp="0" diagonalDown="0" outline="0">
        <left style="thin">
          <color auto="1"/>
        </left>
        <right style="thin">
          <color auto="1"/>
        </right>
        <top/>
        <bottom/>
      </border>
    </dxf>
    <dxf>
      <fill>
        <patternFill>
          <bgColor rgb="FFDF3013"/>
        </patternFill>
      </fill>
    </dxf>
    <dxf>
      <fill>
        <patternFill>
          <bgColor rgb="FFFFFF21"/>
        </patternFill>
      </fill>
    </dxf>
    <dxf>
      <fill>
        <patternFill>
          <bgColor theme="0"/>
        </patternFill>
      </fill>
    </dxf>
    <dxf>
      <fill>
        <patternFill>
          <bgColor rgb="FF92D050"/>
        </patternFill>
      </fill>
    </dxf>
    <dxf>
      <font>
        <color rgb="FFFF0000"/>
      </font>
    </dxf>
  </dxfs>
  <tableStyles count="0" defaultTableStyle="TableStyleMedium2" defaultPivotStyle="PivotStyleLight16"/>
  <colors>
    <mruColors>
      <color rgb="FF92D050"/>
      <color rgb="FF404040"/>
      <color rgb="FF00FF00"/>
      <color rgb="FFFFFF00"/>
      <color rgb="FF2AF68B"/>
      <color rgb="FFF7F7F7"/>
      <color rgb="FFFFFF21"/>
      <color rgb="FFDF3013"/>
      <color rgb="FFF4875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628650</xdr:colOff>
          <xdr:row>0</xdr:row>
          <xdr:rowOff>276225</xdr:rowOff>
        </xdr:from>
        <xdr:to>
          <xdr:col>7</xdr:col>
          <xdr:colOff>438150</xdr:colOff>
          <xdr:row>0</xdr:row>
          <xdr:rowOff>523875</xdr:rowOff>
        </xdr:to>
        <xdr:sp macro="" textlink="">
          <xdr:nvSpPr>
            <xdr:cNvPr id="7184" name="TextBox1" hidden="1">
              <a:extLst>
                <a:ext uri="{63B3BB69-23CF-44E3-9099-C40C66FF867C}">
                  <a14:compatExt spid="_x0000_s7184"/>
                </a:ext>
                <a:ext uri="{FF2B5EF4-FFF2-40B4-BE49-F238E27FC236}">
                  <a16:creationId xmlns:a16="http://schemas.microsoft.com/office/drawing/2014/main" id="{00000000-0008-0000-00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459439</xdr:colOff>
      <xdr:row>0</xdr:row>
      <xdr:rowOff>100851</xdr:rowOff>
    </xdr:from>
    <xdr:to>
      <xdr:col>8</xdr:col>
      <xdr:colOff>640991</xdr:colOff>
      <xdr:row>0</xdr:row>
      <xdr:rowOff>806823</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9494582" y="100851"/>
          <a:ext cx="3066266" cy="705972"/>
          <a:chOff x="7250207" y="78440"/>
          <a:chExt cx="2249936" cy="661148"/>
        </a:xfrm>
      </xdr:grpSpPr>
      <mc:AlternateContent xmlns:mc="http://schemas.openxmlformats.org/markup-compatibility/2006">
        <mc:Choice xmlns:a14="http://schemas.microsoft.com/office/drawing/2010/main" Requires="a14">
          <xdr:sp macro="" textlink="">
            <xdr:nvSpPr>
              <xdr:cNvPr id="7185" name="TextBox2" hidden="1">
                <a:extLst>
                  <a:ext uri="{63B3BB69-23CF-44E3-9099-C40C66FF867C}">
                    <a14:compatExt spid="_x0000_s7185"/>
                  </a:ext>
                  <a:ext uri="{FF2B5EF4-FFF2-40B4-BE49-F238E27FC236}">
                    <a16:creationId xmlns:a16="http://schemas.microsoft.com/office/drawing/2014/main" id="{00000000-0008-0000-0000-0000111C0000}"/>
                  </a:ext>
                </a:extLst>
              </xdr:cNvPr>
              <xdr:cNvSpPr/>
            </xdr:nvSpPr>
            <xdr:spPr bwMode="auto">
              <a:xfrm>
                <a:off x="8050298" y="239245"/>
                <a:ext cx="1449845" cy="237873"/>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7250207" y="78440"/>
            <a:ext cx="795618" cy="66114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latin typeface="Microsoft YaHei UI" panose="020B0503020204020204" pitchFamily="34" charset="-122"/>
                <a:ea typeface="Microsoft YaHei UI" panose="020B0503020204020204" pitchFamily="34" charset="-122"/>
              </a:rPr>
              <a:t>Search:</a:t>
            </a:r>
          </a:p>
          <a:p>
            <a:pPr algn="r"/>
            <a:r>
              <a:rPr lang="zh-CN" sz="1200">
                <a:latin typeface="Microsoft YaHei UI" panose="020B0503020204020204" pitchFamily="34" charset="-122"/>
                <a:ea typeface="Microsoft YaHei UI" panose="020B0503020204020204" pitchFamily="34" charset="-122"/>
              </a:rPr>
              <a:t>搜索</a:t>
            </a:r>
            <a:r>
              <a:rPr lang="en-US" altLang="zh-CN" sz="1200">
                <a:latin typeface="Microsoft YaHei UI" panose="020B0503020204020204" pitchFamily="34" charset="-122"/>
                <a:ea typeface="Microsoft YaHei UI" panose="020B0503020204020204" pitchFamily="34" charset="-122"/>
              </a:rPr>
              <a:t>:</a:t>
            </a:r>
            <a:endParaRPr lang="en-US" sz="1200">
              <a:latin typeface="Microsoft YaHei UI" panose="020B0503020204020204" pitchFamily="34" charset="-122"/>
              <a:ea typeface="Microsoft YaHei UI" panose="020B0503020204020204" pitchFamily="34" charset="-122"/>
            </a:endParaRPr>
          </a:p>
          <a:p>
            <a:endParaRPr lang="en-US" sz="1100"/>
          </a:p>
        </xdr:txBody>
      </xdr:sp>
    </xdr:grpSp>
    <xdr:clientData/>
  </xdr:twoCellAnchor>
  <xdr:twoCellAnchor>
    <xdr:from>
      <xdr:col>6</xdr:col>
      <xdr:colOff>211312</xdr:colOff>
      <xdr:row>0</xdr:row>
      <xdr:rowOff>221717</xdr:rowOff>
    </xdr:from>
    <xdr:to>
      <xdr:col>6</xdr:col>
      <xdr:colOff>614722</xdr:colOff>
      <xdr:row>0</xdr:row>
      <xdr:rowOff>591511</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8566098" y="221717"/>
          <a:ext cx="403410" cy="36979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Microsoft YaHei UI" panose="020B0503020204020204" pitchFamily="34" charset="-122"/>
              <a:ea typeface="Microsoft YaHei UI" panose="020B0503020204020204" pitchFamily="34" charset="-122"/>
            </a:rPr>
            <a:t>ID:</a:t>
          </a:r>
        </a:p>
      </xdr:txBody>
    </xdr:sp>
    <xdr:clientData/>
  </xdr:twoCellAnchor>
  <xdr:twoCellAnchor>
    <xdr:from>
      <xdr:col>9</xdr:col>
      <xdr:colOff>682631</xdr:colOff>
      <xdr:row>0</xdr:row>
      <xdr:rowOff>197971</xdr:rowOff>
    </xdr:from>
    <xdr:to>
      <xdr:col>13</xdr:col>
      <xdr:colOff>491764</xdr:colOff>
      <xdr:row>0</xdr:row>
      <xdr:rowOff>642320</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3704667" y="197971"/>
          <a:ext cx="4680490" cy="444349"/>
          <a:chOff x="10748510" y="287618"/>
          <a:chExt cx="4880222" cy="444349"/>
        </a:xfrm>
      </xdr:grpSpPr>
      <mc:AlternateContent xmlns:mc="http://schemas.openxmlformats.org/markup-compatibility/2006">
        <mc:Choice xmlns:a14="http://schemas.microsoft.com/office/drawing/2010/main" Requires="a14">
          <xdr:grpSp>
            <xdr:nvGrpSpPr>
              <xdr:cNvPr id="5" name="Group 4">
                <a:extLst>
                  <a:ext uri="{FF2B5EF4-FFF2-40B4-BE49-F238E27FC236}">
                    <a16:creationId xmlns:a16="http://schemas.microsoft.com/office/drawing/2014/main" id="{00000000-0008-0000-0000-000005000000}"/>
                  </a:ext>
                </a:extLst>
              </xdr:cNvPr>
              <xdr:cNvGrpSpPr/>
            </xdr:nvGrpSpPr>
            <xdr:grpSpPr>
              <a:xfrm>
                <a:off x="10748510" y="287618"/>
                <a:ext cx="4880222" cy="257175"/>
                <a:chOff x="8890005" y="254000"/>
                <a:chExt cx="4719842" cy="257175"/>
              </a:xfrm>
            </xdr:grpSpPr>
            <xdr:grpSp>
              <xdr:nvGrpSpPr>
                <xdr:cNvPr id="4" name="Group 3">
                  <a:extLst>
                    <a:ext uri="{FF2B5EF4-FFF2-40B4-BE49-F238E27FC236}">
                      <a16:creationId xmlns:a16="http://schemas.microsoft.com/office/drawing/2014/main" id="{00000000-0008-0000-0000-000004000000}"/>
                    </a:ext>
                  </a:extLst>
                </xdr:cNvPr>
                <xdr:cNvGrpSpPr/>
              </xdr:nvGrpSpPr>
              <xdr:grpSpPr>
                <a:xfrm>
                  <a:off x="8890005" y="254000"/>
                  <a:ext cx="4719842" cy="254000"/>
                  <a:chOff x="8890005" y="254000"/>
                  <a:chExt cx="4719842" cy="254000"/>
                </a:xfrm>
              </xdr:grpSpPr>
              <xdr:grpSp>
                <xdr:nvGrpSpPr>
                  <xdr:cNvPr id="2" name="Group 1">
                    <a:extLst>
                      <a:ext uri="{FF2B5EF4-FFF2-40B4-BE49-F238E27FC236}">
                        <a16:creationId xmlns:a16="http://schemas.microsoft.com/office/drawing/2014/main" id="{00000000-0008-0000-0000-000002000000}"/>
                      </a:ext>
                    </a:extLst>
                  </xdr:cNvPr>
                  <xdr:cNvGrpSpPr/>
                </xdr:nvGrpSpPr>
                <xdr:grpSpPr>
                  <a:xfrm>
                    <a:off x="8890005" y="254000"/>
                    <a:ext cx="3891180" cy="254000"/>
                    <a:chOff x="8890005" y="254000"/>
                    <a:chExt cx="3891180" cy="254000"/>
                  </a:xfrm>
                </xdr:grpSpPr>
                <xdr:sp macro="" textlink="">
                  <xdr:nvSpPr>
                    <xdr:cNvPr id="7180" name="ComboBox1" hidden="1">
                      <a:extLst>
                        <a:ext uri="{63B3BB69-23CF-44E3-9099-C40C66FF867C}">
                          <a14:compatExt spid="_x0000_s7180"/>
                        </a:ext>
                        <a:ext uri="{FF2B5EF4-FFF2-40B4-BE49-F238E27FC236}">
                          <a16:creationId xmlns:a16="http://schemas.microsoft.com/office/drawing/2014/main" id="{00000000-0008-0000-0000-00000C1C0000}"/>
                        </a:ext>
                      </a:extLst>
                    </xdr:cNvPr>
                    <xdr:cNvSpPr/>
                  </xdr:nvSpPr>
                  <xdr:spPr bwMode="auto">
                    <a:xfrm>
                      <a:off x="8890005" y="254000"/>
                      <a:ext cx="1922693" cy="254000"/>
                    </a:xfrm>
                    <a:prstGeom prst="rect">
                      <a:avLst/>
                    </a:prstGeom>
                    <a:noFill/>
                    <a:ln>
                      <a:noFill/>
                    </a:ln>
                    <a:extLst>
                      <a:ext uri="{91240B29-F687-4F45-9708-019B960494DF}">
                        <a14:hiddenLine w="9525">
                          <a:noFill/>
                          <a:miter lim="800000"/>
                          <a:headEnd/>
                          <a:tailEnd/>
                        </a14:hiddenLine>
                      </a:ext>
                    </a:extLst>
                  </xdr:spPr>
                </xdr:sp>
                <xdr:sp macro="" textlink="">
                  <xdr:nvSpPr>
                    <xdr:cNvPr id="7181" name="ComboBox2"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10858491" y="254000"/>
                      <a:ext cx="1922694" cy="254000"/>
                    </a:xfrm>
                    <a:prstGeom prst="rect">
                      <a:avLst/>
                    </a:prstGeom>
                    <a:noFill/>
                    <a:ln>
                      <a:noFill/>
                    </a:ln>
                    <a:extLst>
                      <a:ext uri="{91240B29-F687-4F45-9708-019B960494DF}">
                        <a14:hiddenLine w="9525">
                          <a:noFill/>
                          <a:miter lim="800000"/>
                          <a:headEnd/>
                          <a:tailEnd/>
                        </a14:hiddenLine>
                      </a:ext>
                    </a:extLst>
                  </xdr:spPr>
                </xdr:sp>
              </xdr:grpSp>
              <xdr:sp macro="" textlink="">
                <xdr:nvSpPr>
                  <xdr:cNvPr id="7182" name="ComboBox3" hidden="1">
                    <a:extLst>
                      <a:ext uri="{63B3BB69-23CF-44E3-9099-C40C66FF867C}">
                        <a14:compatExt spid="_x0000_s7182"/>
                      </a:ext>
                      <a:ext uri="{FF2B5EF4-FFF2-40B4-BE49-F238E27FC236}">
                        <a16:creationId xmlns:a16="http://schemas.microsoft.com/office/drawing/2014/main" id="{00000000-0008-0000-0000-00000E1C0000}"/>
                      </a:ext>
                    </a:extLst>
                  </xdr:cNvPr>
                  <xdr:cNvSpPr/>
                </xdr:nvSpPr>
                <xdr:spPr bwMode="auto">
                  <a:xfrm>
                    <a:off x="11687154" y="254000"/>
                    <a:ext cx="1922693" cy="254000"/>
                  </a:xfrm>
                  <a:prstGeom prst="rect">
                    <a:avLst/>
                  </a:prstGeom>
                  <a:noFill/>
                  <a:ln>
                    <a:noFill/>
                  </a:ln>
                  <a:extLst>
                    <a:ext uri="{91240B29-F687-4F45-9708-019B960494DF}">
                      <a14:hiddenLine w="9525">
                        <a:noFill/>
                        <a:miter lim="800000"/>
                        <a:headEnd/>
                        <a:tailEnd/>
                      </a14:hiddenLine>
                    </a:ext>
                  </a:extLst>
                </xdr:spPr>
              </xdr:sp>
            </xdr:grpSp>
            <xdr:sp macro="" textlink="">
              <xdr:nvSpPr>
                <xdr:cNvPr id="7183" name="ComboBox4"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12382490" y="257175"/>
                  <a:ext cx="767939" cy="254000"/>
                </a:xfrm>
                <a:prstGeom prst="rect">
                  <a:avLst/>
                </a:prstGeom>
                <a:noFill/>
                <a:ln>
                  <a:noFill/>
                </a:ln>
                <a:extLst>
                  <a:ext uri="{91240B29-F687-4F45-9708-019B960494DF}">
                    <a14:hiddenLine w="9525">
                      <a:noFill/>
                      <a:miter lim="800000"/>
                      <a:headEnd/>
                      <a:tailEnd/>
                    </a14:hiddenLine>
                  </a:ext>
                </a:extLst>
              </xdr:spPr>
            </xdr:sp>
          </xdr:grpSp>
        </mc:Choice>
        <mc:Fallback/>
      </mc:AlternateContent>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418794" y="526676"/>
            <a:ext cx="515841" cy="10085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rIns="0" rtlCol="0" anchor="t"/>
          <a:lstStyle/>
          <a:p>
            <a:r>
              <a:rPr lang="zh-CN" altLang="en-US" sz="1200" b="0" i="0">
                <a:solidFill>
                  <a:schemeClr val="dk1"/>
                </a:solidFill>
                <a:effectLst/>
                <a:latin typeface="Microsoft YaHei UI" panose="020B0503020204020204" pitchFamily="34" charset="-122"/>
                <a:ea typeface="Microsoft YaHei UI" panose="020B0503020204020204" pitchFamily="34" charset="-122"/>
                <a:cs typeface="+mn-cs"/>
              </a:rPr>
              <a:t>供应商</a:t>
            </a:r>
          </a:p>
          <a:p>
            <a:br>
              <a:rPr lang="zh-CN" altLang="en-US" sz="1100" b="0" i="0">
                <a:solidFill>
                  <a:schemeClr val="dk1"/>
                </a:solidFill>
                <a:effectLst/>
                <a:latin typeface="+mn-lt"/>
                <a:ea typeface="+mn-ea"/>
                <a:cs typeface="+mn-cs"/>
              </a:rPr>
            </a:br>
            <a:endParaRPr lang="en-US" sz="1200">
              <a:latin typeface="Microsoft YaHei UI" panose="020B0503020204020204" pitchFamily="34" charset="-122"/>
              <a:ea typeface="Microsoft YaHei UI" panose="020B0503020204020204" pitchFamily="34" charset="-122"/>
            </a:endParaRPr>
          </a:p>
        </xdr:txBody>
      </xdr:sp>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12998824" y="537881"/>
            <a:ext cx="365760" cy="18288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rIns="0" rtlCol="0" anchor="t"/>
          <a:lstStyle/>
          <a:p>
            <a:r>
              <a:rPr lang="zh-CN" altLang="en-US" sz="1200">
                <a:latin typeface="Microsoft YaHei UI" panose="020B0503020204020204" pitchFamily="34" charset="-122"/>
                <a:ea typeface="Microsoft YaHei UI" panose="020B0503020204020204" pitchFamily="34" charset="-122"/>
              </a:rPr>
              <a:t>状态</a:t>
            </a:r>
            <a:br>
              <a:rPr lang="zh-CN" altLang="en-US" sz="1100" b="0" i="0">
                <a:solidFill>
                  <a:schemeClr val="dk1"/>
                </a:solidFill>
                <a:effectLst/>
                <a:latin typeface="+mn-lt"/>
                <a:ea typeface="+mn-ea"/>
                <a:cs typeface="+mn-cs"/>
              </a:rPr>
            </a:br>
            <a:endParaRPr lang="en-US" sz="1200">
              <a:latin typeface="Microsoft YaHei UI" panose="020B0503020204020204" pitchFamily="34" charset="-122"/>
              <a:ea typeface="Microsoft YaHei UI" panose="020B0503020204020204" pitchFamily="34" charset="-122"/>
            </a:endParaRPr>
          </a:p>
        </xdr:txBody>
      </xdr:sp>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4556442" y="549087"/>
            <a:ext cx="365760" cy="18288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rIns="0" rtlCol="0" anchor="t"/>
          <a:lstStyle/>
          <a:p>
            <a:r>
              <a:rPr lang="zh-CN" sz="1200">
                <a:latin typeface="Microsoft YaHei UI" panose="020B0503020204020204" pitchFamily="34" charset="-122"/>
                <a:ea typeface="Microsoft YaHei UI" panose="020B0503020204020204" pitchFamily="34" charset="-122"/>
              </a:rPr>
              <a:t>影响</a:t>
            </a:r>
            <a:br>
              <a:rPr lang="zh-CN" altLang="en-US" sz="1100" b="0" i="0">
                <a:solidFill>
                  <a:schemeClr val="dk1"/>
                </a:solidFill>
                <a:effectLst/>
                <a:latin typeface="+mn-lt"/>
                <a:ea typeface="+mn-ea"/>
                <a:cs typeface="+mn-cs"/>
              </a:rPr>
            </a:br>
            <a:endParaRPr lang="en-US" sz="1200">
              <a:latin typeface="Microsoft YaHei UI" panose="020B0503020204020204" pitchFamily="34" charset="-122"/>
              <a:ea typeface="Microsoft YaHei UI" panose="020B0503020204020204" pitchFamily="34" charset="-122"/>
            </a:endParaRPr>
          </a:p>
        </xdr:txBody>
      </xdr:sp>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3816854" y="549087"/>
            <a:ext cx="365760" cy="18288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rIns="0" rtlCol="0" anchor="t"/>
          <a:lstStyle/>
          <a:p>
            <a:r>
              <a:rPr lang="zh-CN" altLang="en-US" sz="1200">
                <a:latin typeface="Microsoft YaHei UI" panose="020B0503020204020204" pitchFamily="34" charset="-122"/>
                <a:ea typeface="Microsoft YaHei UI" panose="020B0503020204020204" pitchFamily="34" charset="-122"/>
              </a:rPr>
              <a:t>列号</a:t>
            </a:r>
            <a:br>
              <a:rPr lang="zh-CN" altLang="en-US" sz="1100" b="0" i="0">
                <a:solidFill>
                  <a:schemeClr val="dk1"/>
                </a:solidFill>
                <a:effectLst/>
                <a:latin typeface="+mn-lt"/>
                <a:ea typeface="+mn-ea"/>
                <a:cs typeface="+mn-cs"/>
              </a:rPr>
            </a:br>
            <a:endParaRPr lang="en-US" sz="1200">
              <a:latin typeface="Microsoft YaHei UI" panose="020B0503020204020204" pitchFamily="34" charset="-122"/>
              <a:ea typeface="Microsoft YaHei UI" panose="020B0503020204020204" pitchFamily="34" charset="-122"/>
            </a:endParaRPr>
          </a:p>
        </xdr:txBody>
      </xdr:sp>
    </xdr:grpSp>
    <xdr:clientData/>
  </xdr:twoCellAnchor>
  <mc:AlternateContent xmlns:mc="http://schemas.openxmlformats.org/markup-compatibility/2006">
    <mc:Choice xmlns:a14="http://schemas.microsoft.com/office/drawing/2010/main" Requires="a14">
      <xdr:twoCellAnchor editAs="oneCell">
        <xdr:from>
          <xdr:col>13</xdr:col>
          <xdr:colOff>485775</xdr:colOff>
          <xdr:row>0</xdr:row>
          <xdr:rowOff>266700</xdr:rowOff>
        </xdr:from>
        <xdr:to>
          <xdr:col>14</xdr:col>
          <xdr:colOff>438150</xdr:colOff>
          <xdr:row>0</xdr:row>
          <xdr:rowOff>552450</xdr:rowOff>
        </xdr:to>
        <xdr:sp macro="" textlink="">
          <xdr:nvSpPr>
            <xdr:cNvPr id="7186" name="CommandButton1"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161659</xdr:colOff>
          <xdr:row>0</xdr:row>
          <xdr:rowOff>186591</xdr:rowOff>
        </xdr:from>
        <xdr:to>
          <xdr:col>5</xdr:col>
          <xdr:colOff>1475004</xdr:colOff>
          <xdr:row>0</xdr:row>
          <xdr:rowOff>711373</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61659" y="186591"/>
              <a:ext cx="6089452" cy="524782"/>
              <a:chOff x="569568" y="199259"/>
              <a:chExt cx="5389431" cy="524782"/>
            </a:xfrm>
          </xdr:grpSpPr>
          <xdr:grpSp>
            <xdr:nvGrpSpPr>
              <xdr:cNvPr id="3" name="Group 2">
                <a:extLst>
                  <a:ext uri="{FF2B5EF4-FFF2-40B4-BE49-F238E27FC236}">
                    <a16:creationId xmlns:a16="http://schemas.microsoft.com/office/drawing/2014/main" id="{00000000-0008-0000-0000-000003000000}"/>
                  </a:ext>
                </a:extLst>
              </xdr:cNvPr>
              <xdr:cNvGrpSpPr/>
            </xdr:nvGrpSpPr>
            <xdr:grpSpPr>
              <a:xfrm>
                <a:off x="569568" y="199259"/>
                <a:ext cx="4023510" cy="524782"/>
                <a:chOff x="332172" y="199259"/>
                <a:chExt cx="1830925" cy="524782"/>
              </a:xfrm>
            </xdr:grpSpPr>
            <xdr:sp macro="" textlink="">
              <xdr:nvSpPr>
                <xdr:cNvPr id="7176" name="cbtnSignOut"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332172" y="199259"/>
                  <a:ext cx="587140" cy="514350"/>
                </a:xfrm>
                <a:prstGeom prst="rect">
                  <a:avLst/>
                </a:prstGeom>
                <a:noFill/>
                <a:ln>
                  <a:noFill/>
                </a:ln>
                <a:extLst>
                  <a:ext uri="{91240B29-F687-4F45-9708-019B960494DF}">
                    <a14:hiddenLine w="9525">
                      <a:noFill/>
                      <a:miter lim="800000"/>
                      <a:headEnd/>
                      <a:tailEnd/>
                    </a14:hiddenLine>
                  </a:ext>
                </a:extLst>
              </xdr:spPr>
            </xdr:sp>
            <xdr:sp macro="" textlink="">
              <xdr:nvSpPr>
                <xdr:cNvPr id="7178" name="cbtnAddReport"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953253" y="205828"/>
                  <a:ext cx="587140" cy="514350"/>
                </a:xfrm>
                <a:prstGeom prst="rect">
                  <a:avLst/>
                </a:prstGeom>
                <a:noFill/>
                <a:ln>
                  <a:noFill/>
                </a:ln>
                <a:extLst>
                  <a:ext uri="{91240B29-F687-4F45-9708-019B960494DF}">
                    <a14:hiddenLine w="9525">
                      <a:noFill/>
                      <a:miter lim="800000"/>
                      <a:headEnd/>
                      <a:tailEnd/>
                    </a14:hiddenLine>
                  </a:ext>
                </a:extLst>
              </xdr:spPr>
            </xdr:sp>
            <xdr:sp macro="" textlink="">
              <xdr:nvSpPr>
                <xdr:cNvPr id="7179" name="cbtnEditReport"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1575977" y="209691"/>
                  <a:ext cx="587120" cy="514350"/>
                </a:xfrm>
                <a:prstGeom prst="rect">
                  <a:avLst/>
                </a:prstGeom>
                <a:noFill/>
                <a:ln>
                  <a:noFill/>
                </a:ln>
                <a:extLst>
                  <a:ext uri="{91240B29-F687-4F45-9708-019B960494DF}">
                    <a14:hiddenLine w="9525">
                      <a:noFill/>
                      <a:miter lim="800000"/>
                      <a:headEnd/>
                      <a:tailEnd/>
                    </a14:hiddenLine>
                  </a:ext>
                </a:extLst>
              </xdr:spPr>
            </xdr:sp>
          </xdr:grpSp>
          <xdr:sp macro="" textlink="">
            <xdr:nvSpPr>
              <xdr:cNvPr id="7187" name="cbtnExport" hidden="1">
                <a:extLst>
                  <a:ext uri="{63B3BB69-23CF-44E3-9099-C40C66FF867C}">
                    <a14:compatExt spid="_x0000_s7187"/>
                  </a:ext>
                  <a:ext uri="{FF2B5EF4-FFF2-40B4-BE49-F238E27FC236}">
                    <a16:creationId xmlns:a16="http://schemas.microsoft.com/office/drawing/2014/main" id="{00000000-0008-0000-0000-0000131C0000}"/>
                  </a:ext>
                </a:extLst>
              </xdr:cNvPr>
              <xdr:cNvSpPr/>
            </xdr:nvSpPr>
            <xdr:spPr bwMode="auto">
              <a:xfrm>
                <a:off x="4668742" y="206076"/>
                <a:ext cx="1290257" cy="5143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16</xdr:row>
          <xdr:rowOff>76200</xdr:rowOff>
        </xdr:from>
        <xdr:to>
          <xdr:col>27</xdr:col>
          <xdr:colOff>123825</xdr:colOff>
          <xdr:row>19</xdr:row>
          <xdr:rowOff>123825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2</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33156C-388F-45FE-BE22-EA179B0D8C49}" name="Issues" displayName="Issues" ref="A2:R500" totalsRowShown="0" headerRowDxfId="21" dataDxfId="19" headerRowBorderDxfId="20" tableBorderDxfId="18">
  <autoFilter ref="A2:R500" xr:uid="{EB33156C-388F-45FE-BE22-EA179B0D8C49}"/>
  <tableColumns count="18">
    <tableColumn id="1" xr3:uid="{635D0EB7-30D9-4C16-8448-AE4F8932E312}" name="ID#_x000a_序号" dataDxfId="17"/>
    <tableColumn id="2" xr3:uid="{D9FE2167-D4B1-4686-BD71-ADCCCD79FAF6}" name="Start Date_x000a_报出日期" dataDxfId="16"/>
    <tableColumn id="3" xr3:uid="{D02A7F85-1B89-44E5-A6D9-7C06B6460478}" name="Train Number_x000a_列号" dataDxfId="15"/>
    <tableColumn id="4" xr3:uid="{C55E915C-7F60-43C3-8327-795176EF510A}" name="Car Number_x000a_车号" dataDxfId="14"/>
    <tableColumn id="5" xr3:uid="{D819AB4A-8DDF-46AF-88E7-5ED6D3F3167B}" name="Supplier_x000a_供应商" dataDxfId="13"/>
    <tableColumn id="6" xr3:uid="{BFA1306E-45B3-46B9-BA10-DF21DE384F22}" name="Issue(s)_x000a_问题" dataDxfId="12"/>
    <tableColumn id="7" xr3:uid="{01B9B255-E358-4CD7-841D-2719BF002368}" name="Owner_x000a_负责部门" dataDxfId="11"/>
    <tableColumn id="8" xr3:uid="{B13EED94-F887-4D6B-8E6F-5361ADDBD49A}" name="Required Action_x000a_整改要求" dataDxfId="10"/>
    <tableColumn id="9" xr3:uid="{DEF71462-57E3-4E50-871A-54648786F921}" name="Required close date_x000a_要求关闭日期" dataDxfId="9"/>
    <tableColumn id="10" xr3:uid="{01DC38DE-CA7A-4CC8-A2B9-3D33C9429095}" name="Actual Close Date_x000a_实际关闭日期" dataDxfId="8"/>
    <tableColumn id="11" xr3:uid="{B0F8BCB1-8193-43BF-9D53-03828130FF8A}" name="Close Evidence_x000a_关闭依据" dataDxfId="7"/>
    <tableColumn id="12" xr3:uid="{BA3AEC8B-F977-4187-9B36-FB98985BED21}" name="Closed By_x000a_关闭人" dataDxfId="6"/>
    <tableColumn id="13" xr3:uid="{3ABEF874-1CBA-4532-83B7-40E1D61C59EF}" name="Test(s) Affected_x000a_影响试验" dataDxfId="5"/>
    <tableColumn id="14" xr3:uid="{FCA0D9DE-3CAD-4E79-A4BC-4CF9FD6F3682}" name="Impact Level_x000a_影响等级" dataDxfId="4"/>
    <tableColumn id="15" xr3:uid="{84C4A442-EFE9-4552-955B-F14A951CE924}" name="QA REF #_x000a_QA文件编号" dataDxfId="3"/>
    <tableColumn id="16" xr3:uid="{A7B9C5F0-464D-4180-B3E2-4DF2DA88092A}" name="S/N Before_x000a_换件前序列号" dataDxfId="2"/>
    <tableColumn id="17" xr3:uid="{7A018AC1-8B46-4566-8F15-03F745B1F605}" name="S/N After_x000a_换件后序列号" dataDxfId="1"/>
    <tableColumn id="18" xr3:uid="{BD876EAB-7437-487C-AFE3-7BFB1CC0CD33}" name="Notes_x000a_备注"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94216-FFFD-4B42-92EB-211C5FBCF8B8}">
  <sheetPr codeName="Sheet2"/>
  <dimension ref="A1:R1000"/>
  <sheetViews>
    <sheetView tabSelected="1" zoomScale="70" zoomScaleNormal="70" workbookViewId="0">
      <pane ySplit="2" topLeftCell="A138" activePane="bottomLeft" state="frozen"/>
      <selection pane="bottomLeft" activeCell="E152" sqref="E152"/>
    </sheetView>
  </sheetViews>
  <sheetFormatPr defaultRowHeight="15" x14ac:dyDescent="0.25"/>
  <cols>
    <col min="1" max="1" width="5.5703125" style="62" customWidth="1"/>
    <col min="2" max="2" width="14" style="62" customWidth="1"/>
    <col min="3" max="3" width="18.140625" style="65" customWidth="1"/>
    <col min="4" max="4" width="16.28515625" style="62" customWidth="1"/>
    <col min="5" max="5" width="17.5703125" style="62" customWidth="1"/>
    <col min="6" max="6" width="53.7109375" style="62" customWidth="1"/>
    <col min="7" max="7" width="10.28515625" style="62" customWidth="1"/>
    <col min="8" max="8" width="43.28515625" style="62" customWidth="1"/>
    <col min="9" max="9" width="16.42578125" style="62" customWidth="1"/>
    <col min="10" max="10" width="17.140625" style="62" customWidth="1"/>
    <col min="11" max="11" width="22.140625" style="62" bestFit="1" customWidth="1"/>
    <col min="12" max="12" width="17" style="62" customWidth="1"/>
    <col min="13" max="13" width="16.7109375" style="62" customWidth="1"/>
    <col min="14" max="14" width="14" style="62" customWidth="1"/>
    <col min="15" max="15" width="24.7109375" style="62" customWidth="1"/>
    <col min="16" max="16" width="17.42578125" style="67" customWidth="1"/>
    <col min="17" max="17" width="14.42578125" style="67" bestFit="1" customWidth="1"/>
    <col min="18" max="18" width="27.5703125" style="67" customWidth="1"/>
  </cols>
  <sheetData>
    <row r="1" spans="1:18" ht="67.5" customHeight="1" thickBot="1" x14ac:dyDescent="0.3">
      <c r="A1" s="61"/>
      <c r="B1" s="61"/>
      <c r="C1" s="61"/>
      <c r="D1" s="61"/>
      <c r="E1" s="61"/>
      <c r="F1" s="61"/>
      <c r="G1" s="61"/>
      <c r="H1" s="61"/>
      <c r="I1" s="61"/>
      <c r="J1" s="61"/>
      <c r="K1" s="61"/>
      <c r="L1" s="61"/>
      <c r="M1" s="61"/>
      <c r="N1" s="61"/>
      <c r="O1" s="61"/>
      <c r="P1" s="61"/>
      <c r="Q1" s="61"/>
      <c r="R1" s="61"/>
    </row>
    <row r="2" spans="1:18" ht="50.1" customHeight="1" thickTop="1" thickBot="1" x14ac:dyDescent="0.3">
      <c r="A2" s="51" t="s">
        <v>149</v>
      </c>
      <c r="B2" s="52" t="s">
        <v>109</v>
      </c>
      <c r="C2" s="54" t="s">
        <v>110</v>
      </c>
      <c r="D2" s="52" t="s">
        <v>111</v>
      </c>
      <c r="E2" s="52" t="s">
        <v>112</v>
      </c>
      <c r="F2" s="52" t="s">
        <v>113</v>
      </c>
      <c r="G2" s="52" t="s">
        <v>114</v>
      </c>
      <c r="H2" s="52" t="s">
        <v>150</v>
      </c>
      <c r="I2" s="52" t="s">
        <v>151</v>
      </c>
      <c r="J2" s="52" t="s">
        <v>152</v>
      </c>
      <c r="K2" s="52" t="s">
        <v>153</v>
      </c>
      <c r="L2" s="52" t="s">
        <v>154</v>
      </c>
      <c r="M2" s="52" t="s">
        <v>155</v>
      </c>
      <c r="N2" s="52" t="s">
        <v>156</v>
      </c>
      <c r="O2" s="60" t="s">
        <v>157</v>
      </c>
      <c r="P2" s="59" t="s">
        <v>158</v>
      </c>
      <c r="Q2" s="52" t="s">
        <v>159</v>
      </c>
      <c r="R2" s="53" t="s">
        <v>115</v>
      </c>
    </row>
    <row r="3" spans="1:18" s="101" customFormat="1" ht="75.75" thickTop="1" x14ac:dyDescent="0.25">
      <c r="A3" s="98">
        <v>1</v>
      </c>
      <c r="B3" s="99">
        <v>44545</v>
      </c>
      <c r="C3" s="100">
        <v>7</v>
      </c>
      <c r="D3" s="98" t="s">
        <v>101</v>
      </c>
      <c r="E3" s="98" t="s">
        <v>161</v>
      </c>
      <c r="F3" s="98" t="s">
        <v>162</v>
      </c>
      <c r="G3" s="98" t="s">
        <v>160</v>
      </c>
      <c r="H3" s="98" t="s">
        <v>163</v>
      </c>
      <c r="I3" s="99">
        <v>44548</v>
      </c>
      <c r="J3" s="99">
        <v>44546</v>
      </c>
      <c r="K3" s="98" t="s">
        <v>182</v>
      </c>
      <c r="L3" s="98" t="s">
        <v>203</v>
      </c>
      <c r="M3" s="98">
        <v>10.1</v>
      </c>
      <c r="N3" s="98" t="s">
        <v>118</v>
      </c>
      <c r="O3" s="98"/>
      <c r="P3" s="98"/>
      <c r="Q3" s="98"/>
      <c r="R3" s="98"/>
    </row>
    <row r="4" spans="1:18" ht="45" x14ac:dyDescent="0.25">
      <c r="A4" s="62">
        <v>2</v>
      </c>
      <c r="B4" s="64">
        <v>44545</v>
      </c>
      <c r="C4" s="65">
        <v>7</v>
      </c>
      <c r="D4" s="62">
        <v>7014</v>
      </c>
      <c r="E4" s="62" t="s">
        <v>165</v>
      </c>
      <c r="F4" s="62" t="s">
        <v>166</v>
      </c>
      <c r="G4" s="62" t="s">
        <v>168</v>
      </c>
      <c r="H4" s="62" t="s">
        <v>167</v>
      </c>
      <c r="I4" s="64">
        <v>44548</v>
      </c>
      <c r="J4" s="64">
        <v>44547</v>
      </c>
      <c r="K4" s="62" t="s">
        <v>204</v>
      </c>
      <c r="L4" s="62" t="s">
        <v>205</v>
      </c>
      <c r="M4" s="62">
        <v>10.1</v>
      </c>
      <c r="N4" s="62" t="s">
        <v>118</v>
      </c>
      <c r="O4" s="62" t="s">
        <v>206</v>
      </c>
      <c r="P4" s="62"/>
      <c r="Q4" s="62"/>
      <c r="R4" s="62"/>
    </row>
    <row r="5" spans="1:18" ht="45" x14ac:dyDescent="0.25">
      <c r="A5" s="62">
        <v>3</v>
      </c>
      <c r="B5" s="64">
        <v>44545</v>
      </c>
      <c r="C5" s="65">
        <v>7</v>
      </c>
      <c r="D5" s="102">
        <v>7014</v>
      </c>
      <c r="E5" s="62" t="s">
        <v>69</v>
      </c>
      <c r="F5" s="62" t="s">
        <v>169</v>
      </c>
      <c r="G5" s="62" t="s">
        <v>170</v>
      </c>
      <c r="H5" s="62" t="s">
        <v>171</v>
      </c>
      <c r="I5" s="64" t="s">
        <v>164</v>
      </c>
      <c r="J5" s="64">
        <v>44545</v>
      </c>
      <c r="K5" s="62" t="s">
        <v>171</v>
      </c>
      <c r="L5" s="62" t="s">
        <v>172</v>
      </c>
      <c r="M5" s="62">
        <v>10.1</v>
      </c>
      <c r="N5" s="62" t="s">
        <v>118</v>
      </c>
      <c r="O5" s="62" t="s">
        <v>92</v>
      </c>
      <c r="P5" s="62" t="s">
        <v>92</v>
      </c>
      <c r="Q5" s="62" t="s">
        <v>92</v>
      </c>
      <c r="R5" s="62" t="s">
        <v>92</v>
      </c>
    </row>
    <row r="6" spans="1:18" ht="45" x14ac:dyDescent="0.25">
      <c r="A6" s="62">
        <v>4</v>
      </c>
      <c r="B6" s="64">
        <v>44545</v>
      </c>
      <c r="C6" s="65">
        <v>7</v>
      </c>
      <c r="D6" s="62">
        <v>7014</v>
      </c>
      <c r="E6" s="62" t="s">
        <v>69</v>
      </c>
      <c r="F6" s="62" t="s">
        <v>173</v>
      </c>
      <c r="G6" s="62" t="s">
        <v>168</v>
      </c>
      <c r="H6" s="62" t="s">
        <v>167</v>
      </c>
      <c r="I6" s="64">
        <v>44548</v>
      </c>
      <c r="J6" s="64">
        <v>44547</v>
      </c>
      <c r="K6" s="62" t="s">
        <v>204</v>
      </c>
      <c r="L6" s="62" t="s">
        <v>205</v>
      </c>
      <c r="M6" s="62">
        <v>10.1</v>
      </c>
      <c r="N6" s="62" t="s">
        <v>118</v>
      </c>
      <c r="O6" s="62" t="s">
        <v>206</v>
      </c>
      <c r="P6" s="62"/>
      <c r="Q6" s="62"/>
      <c r="R6" s="62"/>
    </row>
    <row r="7" spans="1:18" ht="60" x14ac:dyDescent="0.25">
      <c r="A7" s="62">
        <v>5</v>
      </c>
      <c r="B7" s="64">
        <v>44545</v>
      </c>
      <c r="C7" s="65">
        <v>7</v>
      </c>
      <c r="D7" s="62">
        <v>7014</v>
      </c>
      <c r="E7" s="62" t="s">
        <v>81</v>
      </c>
      <c r="F7" s="62" t="s">
        <v>174</v>
      </c>
      <c r="G7" s="62" t="s">
        <v>168</v>
      </c>
      <c r="H7" s="62" t="s">
        <v>175</v>
      </c>
      <c r="I7" s="64">
        <v>44548</v>
      </c>
      <c r="J7" s="64">
        <v>44547</v>
      </c>
      <c r="K7" s="62" t="s">
        <v>204</v>
      </c>
      <c r="L7" s="62" t="s">
        <v>205</v>
      </c>
      <c r="M7" s="62">
        <v>10.1</v>
      </c>
      <c r="N7" s="62" t="s">
        <v>118</v>
      </c>
      <c r="O7" s="62" t="s">
        <v>206</v>
      </c>
      <c r="P7" s="62"/>
      <c r="Q7" s="62"/>
      <c r="R7" s="62"/>
    </row>
    <row r="8" spans="1:18" ht="45" x14ac:dyDescent="0.25">
      <c r="A8" s="62">
        <v>6</v>
      </c>
      <c r="B8" s="64">
        <v>44545</v>
      </c>
      <c r="C8" s="65">
        <v>7</v>
      </c>
      <c r="D8" s="62">
        <v>7014</v>
      </c>
      <c r="E8" s="62" t="s">
        <v>81</v>
      </c>
      <c r="F8" s="62" t="s">
        <v>176</v>
      </c>
      <c r="G8" s="62" t="s">
        <v>168</v>
      </c>
      <c r="H8" s="62" t="s">
        <v>167</v>
      </c>
      <c r="I8" s="64">
        <v>44548</v>
      </c>
      <c r="J8" s="64">
        <v>44547</v>
      </c>
      <c r="K8" s="62" t="s">
        <v>204</v>
      </c>
      <c r="L8" s="62" t="s">
        <v>205</v>
      </c>
      <c r="M8" s="62">
        <v>10.1</v>
      </c>
      <c r="N8" s="62" t="s">
        <v>118</v>
      </c>
      <c r="O8" s="62" t="s">
        <v>206</v>
      </c>
      <c r="P8" s="62"/>
      <c r="Q8" s="62"/>
      <c r="R8" s="62"/>
    </row>
    <row r="9" spans="1:18" ht="45" x14ac:dyDescent="0.25">
      <c r="A9" s="62">
        <v>7</v>
      </c>
      <c r="B9" s="64">
        <v>44545</v>
      </c>
      <c r="C9" s="65">
        <v>7</v>
      </c>
      <c r="D9" s="62">
        <v>7014</v>
      </c>
      <c r="E9" s="62" t="s">
        <v>77</v>
      </c>
      <c r="F9" s="62" t="s">
        <v>177</v>
      </c>
      <c r="G9" s="62" t="s">
        <v>168</v>
      </c>
      <c r="H9" s="62" t="s">
        <v>167</v>
      </c>
      <c r="I9" s="64">
        <v>44548</v>
      </c>
      <c r="J9" s="64">
        <v>44547</v>
      </c>
      <c r="K9" s="62" t="s">
        <v>204</v>
      </c>
      <c r="L9" s="62" t="s">
        <v>205</v>
      </c>
      <c r="M9" s="62">
        <v>10.1</v>
      </c>
      <c r="N9" s="62" t="s">
        <v>118</v>
      </c>
      <c r="O9" s="62" t="s">
        <v>206</v>
      </c>
      <c r="P9" s="62"/>
      <c r="Q9" s="62"/>
      <c r="R9" s="62"/>
    </row>
    <row r="10" spans="1:18" ht="45" x14ac:dyDescent="0.25">
      <c r="A10" s="62">
        <v>8</v>
      </c>
      <c r="B10" s="64">
        <v>44545</v>
      </c>
      <c r="C10" s="65">
        <v>7</v>
      </c>
      <c r="D10" s="62">
        <v>7014</v>
      </c>
      <c r="E10" s="62" t="s">
        <v>71</v>
      </c>
      <c r="F10" s="62" t="s">
        <v>207</v>
      </c>
      <c r="G10" s="62" t="s">
        <v>168</v>
      </c>
      <c r="H10" s="62" t="s">
        <v>167</v>
      </c>
      <c r="I10" s="64">
        <v>44548</v>
      </c>
      <c r="J10" s="64">
        <v>44572</v>
      </c>
      <c r="K10" s="62" t="s">
        <v>204</v>
      </c>
      <c r="L10" s="62" t="s">
        <v>205</v>
      </c>
      <c r="M10" s="62">
        <v>10.1</v>
      </c>
      <c r="N10" s="62" t="s">
        <v>118</v>
      </c>
      <c r="O10" s="62" t="s">
        <v>206</v>
      </c>
      <c r="P10" s="62"/>
      <c r="Q10" s="62"/>
      <c r="R10" s="62"/>
    </row>
    <row r="11" spans="1:18" ht="60" x14ac:dyDescent="0.25">
      <c r="A11" s="62">
        <v>9</v>
      </c>
      <c r="B11" s="64">
        <v>44545</v>
      </c>
      <c r="C11" s="65">
        <v>7</v>
      </c>
      <c r="D11" s="62">
        <v>7013</v>
      </c>
      <c r="E11" s="62" t="s">
        <v>170</v>
      </c>
      <c r="F11" s="62" t="s">
        <v>178</v>
      </c>
      <c r="G11" s="62" t="s">
        <v>170</v>
      </c>
      <c r="H11" s="62" t="s">
        <v>208</v>
      </c>
      <c r="I11" s="64" t="s">
        <v>179</v>
      </c>
      <c r="J11" s="64">
        <v>44545</v>
      </c>
      <c r="K11" s="62" t="s">
        <v>182</v>
      </c>
      <c r="L11" s="62" t="s">
        <v>208</v>
      </c>
      <c r="M11" s="62">
        <v>10.1</v>
      </c>
      <c r="N11" s="62" t="s">
        <v>118</v>
      </c>
      <c r="P11" s="62"/>
      <c r="Q11" s="62"/>
      <c r="R11" s="62"/>
    </row>
    <row r="12" spans="1:18" ht="75" x14ac:dyDescent="0.25">
      <c r="A12" s="62">
        <v>10</v>
      </c>
      <c r="B12" s="64">
        <v>44546</v>
      </c>
      <c r="C12" s="65">
        <v>7</v>
      </c>
      <c r="D12" s="62">
        <v>7013</v>
      </c>
      <c r="E12" s="62" t="s">
        <v>170</v>
      </c>
      <c r="F12" s="62" t="s">
        <v>180</v>
      </c>
      <c r="G12" s="62" t="s">
        <v>170</v>
      </c>
      <c r="H12" s="62" t="s">
        <v>181</v>
      </c>
      <c r="I12" s="64" t="s">
        <v>164</v>
      </c>
      <c r="J12" s="64">
        <v>44546</v>
      </c>
      <c r="K12" s="62" t="s">
        <v>183</v>
      </c>
      <c r="L12" s="62" t="s">
        <v>182</v>
      </c>
      <c r="M12" s="62">
        <v>10.1</v>
      </c>
      <c r="N12" s="62" t="s">
        <v>118</v>
      </c>
      <c r="O12" s="62" t="s">
        <v>92</v>
      </c>
      <c r="P12" s="62" t="s">
        <v>92</v>
      </c>
      <c r="Q12" s="62" t="s">
        <v>92</v>
      </c>
      <c r="R12" s="62" t="s">
        <v>92</v>
      </c>
    </row>
    <row r="13" spans="1:18" ht="45" x14ac:dyDescent="0.25">
      <c r="A13" s="62">
        <v>11</v>
      </c>
      <c r="B13" s="64">
        <v>44546</v>
      </c>
      <c r="C13" s="65">
        <v>7</v>
      </c>
      <c r="D13" s="62">
        <v>7014</v>
      </c>
      <c r="E13" s="62" t="s">
        <v>71</v>
      </c>
      <c r="F13" s="62" t="s">
        <v>184</v>
      </c>
      <c r="G13" s="62" t="s">
        <v>168</v>
      </c>
      <c r="H13" s="62" t="s">
        <v>167</v>
      </c>
      <c r="I13" s="64">
        <v>44548</v>
      </c>
      <c r="J13" s="64">
        <v>44545</v>
      </c>
      <c r="K13" s="65" t="s">
        <v>204</v>
      </c>
      <c r="L13" s="62" t="s">
        <v>227</v>
      </c>
      <c r="M13" s="65">
        <v>10.1</v>
      </c>
      <c r="N13" s="62" t="s">
        <v>118</v>
      </c>
      <c r="O13" s="62" t="s">
        <v>206</v>
      </c>
      <c r="P13" s="62"/>
      <c r="Q13" s="62"/>
      <c r="R13" s="62"/>
    </row>
    <row r="14" spans="1:18" ht="30" x14ac:dyDescent="0.25">
      <c r="A14" s="62">
        <v>12</v>
      </c>
      <c r="B14" s="64">
        <v>44546</v>
      </c>
      <c r="C14" s="65">
        <v>7</v>
      </c>
      <c r="D14" s="62">
        <v>7013</v>
      </c>
      <c r="E14" s="62" t="s">
        <v>170</v>
      </c>
      <c r="F14" s="62" t="s">
        <v>185</v>
      </c>
      <c r="G14" s="62" t="s">
        <v>168</v>
      </c>
      <c r="H14" s="62" t="s">
        <v>167</v>
      </c>
      <c r="I14" s="64">
        <v>44913</v>
      </c>
      <c r="J14" s="64">
        <v>44547</v>
      </c>
      <c r="K14" s="65" t="s">
        <v>182</v>
      </c>
      <c r="L14" s="62" t="s">
        <v>228</v>
      </c>
      <c r="M14" s="65">
        <v>10.1</v>
      </c>
      <c r="N14" s="62" t="s">
        <v>118</v>
      </c>
      <c r="O14" s="62" t="s">
        <v>229</v>
      </c>
      <c r="P14" s="62"/>
      <c r="Q14" s="62"/>
      <c r="R14" s="62"/>
    </row>
    <row r="15" spans="1:18" ht="75" x14ac:dyDescent="0.25">
      <c r="A15" s="62">
        <v>13</v>
      </c>
      <c r="B15" s="64">
        <v>44546</v>
      </c>
      <c r="C15" s="65">
        <v>7</v>
      </c>
      <c r="D15" s="62" t="s">
        <v>101</v>
      </c>
      <c r="E15" s="62" t="s">
        <v>170</v>
      </c>
      <c r="F15" s="62" t="s">
        <v>186</v>
      </c>
      <c r="G15" s="62" t="s">
        <v>170</v>
      </c>
      <c r="H15" s="62" t="s">
        <v>181</v>
      </c>
      <c r="I15" s="62" t="s">
        <v>164</v>
      </c>
      <c r="J15" s="64">
        <v>44546</v>
      </c>
      <c r="K15" s="65" t="s">
        <v>187</v>
      </c>
      <c r="L15" s="62" t="s">
        <v>182</v>
      </c>
      <c r="M15" s="65">
        <v>10.1</v>
      </c>
      <c r="N15" s="62" t="s">
        <v>118</v>
      </c>
      <c r="O15" s="62" t="s">
        <v>92</v>
      </c>
      <c r="P15" s="62" t="s">
        <v>92</v>
      </c>
      <c r="Q15" s="62" t="s">
        <v>92</v>
      </c>
      <c r="R15" s="62" t="s">
        <v>92</v>
      </c>
    </row>
    <row r="16" spans="1:18" ht="45" x14ac:dyDescent="0.25">
      <c r="A16" s="62">
        <v>14</v>
      </c>
      <c r="B16" s="64">
        <v>44546</v>
      </c>
      <c r="C16" s="65">
        <v>7</v>
      </c>
      <c r="D16" s="62">
        <v>7014</v>
      </c>
      <c r="E16" s="62" t="s">
        <v>170</v>
      </c>
      <c r="F16" s="62" t="s">
        <v>188</v>
      </c>
      <c r="G16" s="62" t="s">
        <v>170</v>
      </c>
      <c r="H16" s="62" t="s">
        <v>189</v>
      </c>
      <c r="I16" s="62" t="s">
        <v>164</v>
      </c>
      <c r="J16" s="64">
        <v>44545</v>
      </c>
      <c r="K16" s="65" t="s">
        <v>171</v>
      </c>
      <c r="L16" s="62" t="s">
        <v>182</v>
      </c>
      <c r="M16" s="65">
        <v>10.3</v>
      </c>
      <c r="N16" s="62" t="s">
        <v>118</v>
      </c>
      <c r="O16" s="62" t="s">
        <v>92</v>
      </c>
      <c r="P16" s="62" t="s">
        <v>92</v>
      </c>
      <c r="Q16" s="62" t="s">
        <v>92</v>
      </c>
      <c r="R16" s="62" t="s">
        <v>92</v>
      </c>
    </row>
    <row r="17" spans="1:18" ht="30" x14ac:dyDescent="0.25">
      <c r="A17" s="62">
        <v>15</v>
      </c>
      <c r="B17" s="64">
        <v>44546</v>
      </c>
      <c r="C17" s="65">
        <v>7</v>
      </c>
      <c r="D17" s="62">
        <v>7013</v>
      </c>
      <c r="E17" s="62" t="s">
        <v>170</v>
      </c>
      <c r="F17" s="62" t="s">
        <v>190</v>
      </c>
      <c r="G17" s="62" t="s">
        <v>170</v>
      </c>
      <c r="H17" s="62" t="s">
        <v>189</v>
      </c>
      <c r="I17" s="64">
        <v>44546</v>
      </c>
      <c r="J17" s="64">
        <v>44547</v>
      </c>
      <c r="K17" s="65" t="s">
        <v>202</v>
      </c>
      <c r="L17" s="62" t="s">
        <v>230</v>
      </c>
      <c r="M17" s="65">
        <v>10.3</v>
      </c>
      <c r="N17" s="62" t="s">
        <v>118</v>
      </c>
      <c r="P17" s="62"/>
      <c r="Q17" s="62"/>
      <c r="R17" s="62"/>
    </row>
    <row r="18" spans="1:18" ht="90" x14ac:dyDescent="0.25">
      <c r="A18" s="62">
        <v>16</v>
      </c>
      <c r="B18" s="64">
        <v>44546</v>
      </c>
      <c r="C18" s="65">
        <v>7</v>
      </c>
      <c r="D18" s="62" t="s">
        <v>101</v>
      </c>
      <c r="E18" s="62" t="s">
        <v>170</v>
      </c>
      <c r="F18" s="62" t="s">
        <v>192</v>
      </c>
      <c r="G18" s="62" t="s">
        <v>170</v>
      </c>
      <c r="H18" s="62" t="s">
        <v>193</v>
      </c>
      <c r="I18" s="64">
        <v>44546</v>
      </c>
      <c r="J18" s="64">
        <v>44546</v>
      </c>
      <c r="K18" s="65" t="s">
        <v>182</v>
      </c>
      <c r="L18" s="62" t="s">
        <v>231</v>
      </c>
      <c r="M18" s="65">
        <v>10.3</v>
      </c>
      <c r="N18" s="62" t="s">
        <v>118</v>
      </c>
      <c r="P18" s="62"/>
      <c r="Q18" s="62"/>
      <c r="R18" s="62"/>
    </row>
    <row r="19" spans="1:18" ht="30" x14ac:dyDescent="0.25">
      <c r="A19" s="62">
        <v>17</v>
      </c>
      <c r="B19" s="64">
        <v>44546</v>
      </c>
      <c r="C19" s="65">
        <v>7</v>
      </c>
      <c r="D19" s="62" t="s">
        <v>101</v>
      </c>
      <c r="E19" s="62" t="s">
        <v>194</v>
      </c>
      <c r="F19" s="62" t="s">
        <v>195</v>
      </c>
      <c r="G19" s="62" t="s">
        <v>168</v>
      </c>
      <c r="H19" s="62" t="s">
        <v>167</v>
      </c>
      <c r="I19" s="64">
        <v>44550</v>
      </c>
      <c r="J19" s="64">
        <v>44547</v>
      </c>
      <c r="K19" s="65" t="s">
        <v>204</v>
      </c>
      <c r="L19" s="62" t="s">
        <v>232</v>
      </c>
      <c r="M19" s="65">
        <v>10.3</v>
      </c>
      <c r="N19" s="62" t="s">
        <v>118</v>
      </c>
      <c r="O19" s="62" t="s">
        <v>233</v>
      </c>
      <c r="P19" s="62"/>
      <c r="Q19" s="62"/>
      <c r="R19" s="62"/>
    </row>
    <row r="20" spans="1:18" ht="45" x14ac:dyDescent="0.25">
      <c r="A20" s="62">
        <v>18</v>
      </c>
      <c r="B20" s="64">
        <v>44546</v>
      </c>
      <c r="C20" s="65">
        <v>7</v>
      </c>
      <c r="D20" s="62">
        <v>7013</v>
      </c>
      <c r="E20" s="62" t="s">
        <v>170</v>
      </c>
      <c r="F20" s="62" t="s">
        <v>196</v>
      </c>
      <c r="G20" s="62" t="s">
        <v>170</v>
      </c>
      <c r="H20" s="62" t="s">
        <v>197</v>
      </c>
      <c r="I20" s="64">
        <v>44546</v>
      </c>
      <c r="J20" s="64">
        <v>44546</v>
      </c>
      <c r="K20" s="65" t="s">
        <v>172</v>
      </c>
      <c r="L20" s="62" t="s">
        <v>171</v>
      </c>
      <c r="M20" s="65">
        <v>10.3</v>
      </c>
      <c r="N20" s="62" t="s">
        <v>118</v>
      </c>
      <c r="P20" s="62"/>
      <c r="Q20" s="62"/>
      <c r="R20" s="62"/>
    </row>
    <row r="21" spans="1:18" ht="45" x14ac:dyDescent="0.25">
      <c r="A21" s="62">
        <v>19</v>
      </c>
      <c r="B21" s="64">
        <v>44546</v>
      </c>
      <c r="C21" s="65">
        <v>7</v>
      </c>
      <c r="D21" s="62" t="s">
        <v>101</v>
      </c>
      <c r="E21" s="62" t="s">
        <v>170</v>
      </c>
      <c r="F21" s="62" t="s">
        <v>198</v>
      </c>
      <c r="G21" s="62" t="s">
        <v>170</v>
      </c>
      <c r="H21" s="62" t="s">
        <v>193</v>
      </c>
      <c r="I21" s="64">
        <v>44546</v>
      </c>
      <c r="J21" s="64">
        <v>44546</v>
      </c>
      <c r="K21" s="65" t="s">
        <v>182</v>
      </c>
      <c r="L21" s="62" t="s">
        <v>231</v>
      </c>
      <c r="M21" s="65">
        <v>10.3</v>
      </c>
      <c r="N21" s="62" t="s">
        <v>118</v>
      </c>
      <c r="P21" s="62"/>
      <c r="Q21" s="62"/>
      <c r="R21" s="62"/>
    </row>
    <row r="22" spans="1:18" ht="30" x14ac:dyDescent="0.25">
      <c r="A22" s="62">
        <v>20</v>
      </c>
      <c r="B22" s="64" t="s">
        <v>191</v>
      </c>
      <c r="C22" s="65">
        <v>7</v>
      </c>
      <c r="D22" s="62">
        <v>7014</v>
      </c>
      <c r="E22" s="62" t="s">
        <v>520</v>
      </c>
      <c r="F22" s="62" t="s">
        <v>200</v>
      </c>
      <c r="G22" s="62" t="s">
        <v>170</v>
      </c>
      <c r="H22" s="62" t="s">
        <v>201</v>
      </c>
      <c r="I22" s="62" t="s">
        <v>164</v>
      </c>
      <c r="J22" s="64">
        <v>44546</v>
      </c>
      <c r="K22" s="65" t="s">
        <v>171</v>
      </c>
      <c r="L22" s="62" t="s">
        <v>202</v>
      </c>
      <c r="M22" s="65">
        <v>10.1</v>
      </c>
      <c r="N22" s="62" t="s">
        <v>118</v>
      </c>
      <c r="O22" s="62" t="s">
        <v>92</v>
      </c>
      <c r="P22" s="62" t="s">
        <v>92</v>
      </c>
      <c r="Q22" s="62" t="s">
        <v>92</v>
      </c>
      <c r="R22" s="62" t="s">
        <v>92</v>
      </c>
    </row>
    <row r="23" spans="1:18" ht="30" x14ac:dyDescent="0.25">
      <c r="A23" s="62">
        <v>21</v>
      </c>
      <c r="B23" s="64" t="s">
        <v>191</v>
      </c>
      <c r="C23" s="65">
        <v>7</v>
      </c>
      <c r="D23" s="62">
        <v>7014</v>
      </c>
      <c r="E23" s="62" t="s">
        <v>170</v>
      </c>
      <c r="F23" s="62" t="s">
        <v>209</v>
      </c>
      <c r="G23" s="62" t="s">
        <v>170</v>
      </c>
      <c r="H23" s="62" t="s">
        <v>201</v>
      </c>
      <c r="I23" s="62" t="s">
        <v>191</v>
      </c>
      <c r="J23" s="64">
        <v>44546</v>
      </c>
      <c r="K23" s="65" t="s">
        <v>171</v>
      </c>
      <c r="L23" s="62" t="s">
        <v>172</v>
      </c>
      <c r="M23" s="65">
        <v>11.1</v>
      </c>
      <c r="N23" s="62" t="s">
        <v>118</v>
      </c>
      <c r="O23" s="62" t="s">
        <v>92</v>
      </c>
      <c r="P23" s="62" t="s">
        <v>92</v>
      </c>
      <c r="Q23" s="62" t="s">
        <v>92</v>
      </c>
      <c r="R23" s="62" t="s">
        <v>92</v>
      </c>
    </row>
    <row r="24" spans="1:18" ht="105" x14ac:dyDescent="0.25">
      <c r="A24" s="62">
        <v>22</v>
      </c>
      <c r="B24" s="64" t="s">
        <v>191</v>
      </c>
      <c r="C24" s="65">
        <v>7</v>
      </c>
      <c r="D24" s="62">
        <v>7013</v>
      </c>
      <c r="E24" s="62" t="s">
        <v>71</v>
      </c>
      <c r="F24" s="62" t="s">
        <v>210</v>
      </c>
      <c r="G24" s="62" t="s">
        <v>211</v>
      </c>
      <c r="H24" s="62" t="s">
        <v>212</v>
      </c>
      <c r="I24" s="62" t="s">
        <v>213</v>
      </c>
      <c r="J24" s="64">
        <v>44547</v>
      </c>
      <c r="K24" s="65" t="s">
        <v>214</v>
      </c>
      <c r="L24" s="62" t="s">
        <v>215</v>
      </c>
      <c r="M24" s="65">
        <v>12.1</v>
      </c>
      <c r="N24" s="62" t="s">
        <v>118</v>
      </c>
      <c r="O24" s="62" t="s">
        <v>216</v>
      </c>
      <c r="P24" s="62" t="s">
        <v>92</v>
      </c>
      <c r="Q24" s="62" t="s">
        <v>92</v>
      </c>
      <c r="R24" s="62" t="s">
        <v>92</v>
      </c>
    </row>
    <row r="25" spans="1:18" ht="30" x14ac:dyDescent="0.25">
      <c r="A25" s="62">
        <v>23</v>
      </c>
      <c r="B25" s="64">
        <v>44546</v>
      </c>
      <c r="C25" s="65">
        <v>7</v>
      </c>
      <c r="D25" s="62">
        <v>7013</v>
      </c>
      <c r="E25" s="62" t="s">
        <v>194</v>
      </c>
      <c r="F25" s="62" t="s">
        <v>217</v>
      </c>
      <c r="G25" s="62" t="s">
        <v>170</v>
      </c>
      <c r="H25" s="62" t="s">
        <v>218</v>
      </c>
      <c r="I25" s="62" t="s">
        <v>213</v>
      </c>
      <c r="J25" s="64">
        <v>44547</v>
      </c>
      <c r="K25" s="65" t="s">
        <v>219</v>
      </c>
      <c r="L25" s="62" t="s">
        <v>220</v>
      </c>
      <c r="M25" s="65">
        <v>12.1</v>
      </c>
      <c r="N25" s="62" t="s">
        <v>118</v>
      </c>
      <c r="O25" s="62" t="s">
        <v>92</v>
      </c>
      <c r="P25" s="62" t="s">
        <v>92</v>
      </c>
      <c r="Q25" s="62" t="s">
        <v>92</v>
      </c>
      <c r="R25" s="62" t="s">
        <v>92</v>
      </c>
    </row>
    <row r="26" spans="1:18" ht="45" x14ac:dyDescent="0.25">
      <c r="A26" s="62">
        <v>24</v>
      </c>
      <c r="B26" s="64">
        <v>44546</v>
      </c>
      <c r="C26" s="65">
        <v>7</v>
      </c>
      <c r="D26" s="62">
        <v>7013</v>
      </c>
      <c r="E26" s="62" t="s">
        <v>170</v>
      </c>
      <c r="F26" s="62" t="s">
        <v>221</v>
      </c>
      <c r="G26" s="62" t="s">
        <v>170</v>
      </c>
      <c r="H26" s="62" t="s">
        <v>197</v>
      </c>
      <c r="I26" s="62" t="s">
        <v>213</v>
      </c>
      <c r="J26" s="64">
        <v>44547</v>
      </c>
      <c r="K26" s="65" t="s">
        <v>201</v>
      </c>
      <c r="L26" s="62" t="s">
        <v>202</v>
      </c>
      <c r="M26" s="65">
        <v>12.1</v>
      </c>
      <c r="N26" s="62" t="s">
        <v>118</v>
      </c>
      <c r="O26" s="62" t="s">
        <v>92</v>
      </c>
      <c r="P26" s="62" t="s">
        <v>92</v>
      </c>
      <c r="Q26" s="62" t="s">
        <v>92</v>
      </c>
      <c r="R26" s="62" t="s">
        <v>222</v>
      </c>
    </row>
    <row r="27" spans="1:18" ht="165" x14ac:dyDescent="0.25">
      <c r="A27" s="62">
        <v>25</v>
      </c>
      <c r="B27" s="64">
        <v>44547</v>
      </c>
      <c r="C27" s="65">
        <v>7</v>
      </c>
      <c r="D27" s="62" t="s">
        <v>101</v>
      </c>
      <c r="E27" s="62" t="s">
        <v>165</v>
      </c>
      <c r="F27" s="62" t="s">
        <v>223</v>
      </c>
      <c r="G27" s="62" t="s">
        <v>211</v>
      </c>
      <c r="H27" s="62" t="s">
        <v>224</v>
      </c>
      <c r="I27" s="64">
        <v>44566</v>
      </c>
      <c r="J27" s="64">
        <v>44555</v>
      </c>
      <c r="K27" s="65" t="s">
        <v>92</v>
      </c>
      <c r="L27" s="62" t="s">
        <v>92</v>
      </c>
      <c r="M27" s="65">
        <v>26.1</v>
      </c>
      <c r="N27" s="62" t="s">
        <v>118</v>
      </c>
      <c r="O27" s="62" t="s">
        <v>226</v>
      </c>
      <c r="P27" s="62" t="s">
        <v>92</v>
      </c>
      <c r="Q27" s="62" t="s">
        <v>92</v>
      </c>
      <c r="R27" s="62" t="s">
        <v>92</v>
      </c>
    </row>
    <row r="28" spans="1:18" ht="45" x14ac:dyDescent="0.25">
      <c r="A28" s="62">
        <v>26</v>
      </c>
      <c r="B28" s="64" t="s">
        <v>234</v>
      </c>
      <c r="C28" s="65">
        <v>7</v>
      </c>
      <c r="D28" s="62">
        <v>7014</v>
      </c>
      <c r="E28" s="62" t="s">
        <v>194</v>
      </c>
      <c r="F28" s="62" t="s">
        <v>235</v>
      </c>
      <c r="G28" s="62" t="s">
        <v>170</v>
      </c>
      <c r="H28" s="62" t="s">
        <v>236</v>
      </c>
      <c r="I28" s="64">
        <v>44581</v>
      </c>
      <c r="J28" s="64">
        <v>44582</v>
      </c>
      <c r="K28" s="65" t="s">
        <v>237</v>
      </c>
      <c r="L28" s="62" t="s">
        <v>202</v>
      </c>
      <c r="M28" s="65">
        <v>10.1</v>
      </c>
      <c r="N28" s="62" t="s">
        <v>118</v>
      </c>
      <c r="O28" s="62" t="s">
        <v>92</v>
      </c>
      <c r="P28" s="62" t="s">
        <v>92</v>
      </c>
      <c r="Q28" s="62" t="s">
        <v>92</v>
      </c>
      <c r="R28" s="62" t="s">
        <v>92</v>
      </c>
    </row>
    <row r="29" spans="1:18" ht="60" x14ac:dyDescent="0.25">
      <c r="A29" s="62">
        <v>27</v>
      </c>
      <c r="B29" s="64" t="s">
        <v>234</v>
      </c>
      <c r="C29" s="65">
        <v>7</v>
      </c>
      <c r="D29" s="62" t="s">
        <v>101</v>
      </c>
      <c r="E29" s="62" t="s">
        <v>194</v>
      </c>
      <c r="F29" s="62" t="s">
        <v>238</v>
      </c>
      <c r="G29" s="62" t="s">
        <v>168</v>
      </c>
      <c r="H29" s="62" t="s">
        <v>239</v>
      </c>
      <c r="I29" s="62" t="s">
        <v>240</v>
      </c>
      <c r="J29" s="64">
        <v>44551</v>
      </c>
      <c r="K29" s="65" t="s">
        <v>201</v>
      </c>
      <c r="L29" s="62" t="s">
        <v>199</v>
      </c>
      <c r="M29" s="65">
        <v>13.1</v>
      </c>
      <c r="N29" s="62" t="s">
        <v>118</v>
      </c>
      <c r="O29" s="62" t="s">
        <v>92</v>
      </c>
      <c r="P29" s="62" t="s">
        <v>92</v>
      </c>
      <c r="Q29" s="62" t="s">
        <v>92</v>
      </c>
      <c r="R29" s="62" t="s">
        <v>241</v>
      </c>
    </row>
    <row r="30" spans="1:18" ht="30" x14ac:dyDescent="0.25">
      <c r="A30" s="62">
        <v>28</v>
      </c>
      <c r="B30" s="64" t="s">
        <v>272</v>
      </c>
      <c r="C30" s="65">
        <v>7</v>
      </c>
      <c r="D30" s="62">
        <v>7013</v>
      </c>
      <c r="E30" s="62" t="s">
        <v>194</v>
      </c>
      <c r="F30" s="62" t="s">
        <v>273</v>
      </c>
      <c r="G30" s="62" t="s">
        <v>168</v>
      </c>
      <c r="H30" s="62" t="s">
        <v>274</v>
      </c>
      <c r="I30" s="62" t="s">
        <v>272</v>
      </c>
      <c r="J30" s="64">
        <v>44550</v>
      </c>
      <c r="K30" s="65" t="s">
        <v>201</v>
      </c>
      <c r="L30" s="62" t="s">
        <v>202</v>
      </c>
      <c r="M30" s="65">
        <v>13.1</v>
      </c>
      <c r="N30" s="62" t="s">
        <v>118</v>
      </c>
      <c r="O30" s="62" t="s">
        <v>92</v>
      </c>
      <c r="P30" s="62" t="s">
        <v>92</v>
      </c>
      <c r="Q30" s="62" t="s">
        <v>92</v>
      </c>
      <c r="R30" s="62" t="s">
        <v>92</v>
      </c>
    </row>
    <row r="31" spans="1:18" ht="225" x14ac:dyDescent="0.25">
      <c r="A31" s="62">
        <v>29</v>
      </c>
      <c r="B31" s="64">
        <v>44550</v>
      </c>
      <c r="C31" s="65">
        <v>7</v>
      </c>
      <c r="D31" s="62" t="s">
        <v>101</v>
      </c>
      <c r="E31" s="62" t="s">
        <v>77</v>
      </c>
      <c r="F31" s="62" t="s">
        <v>275</v>
      </c>
      <c r="G31" s="62" t="s">
        <v>211</v>
      </c>
      <c r="H31" s="62" t="s">
        <v>276</v>
      </c>
      <c r="I31" s="64">
        <v>44568</v>
      </c>
      <c r="J31" s="64">
        <v>44585</v>
      </c>
      <c r="K31" s="65" t="s">
        <v>277</v>
      </c>
      <c r="L31" s="62" t="s">
        <v>278</v>
      </c>
      <c r="M31" s="65">
        <v>31.1</v>
      </c>
      <c r="N31" s="62" t="s">
        <v>118</v>
      </c>
      <c r="O31" s="62" t="s">
        <v>92</v>
      </c>
      <c r="P31" s="62" t="s">
        <v>92</v>
      </c>
      <c r="Q31" s="62" t="s">
        <v>92</v>
      </c>
      <c r="R31" s="62" t="s">
        <v>92</v>
      </c>
    </row>
    <row r="32" spans="1:18" ht="75" x14ac:dyDescent="0.25">
      <c r="A32" s="62">
        <v>30</v>
      </c>
      <c r="B32" s="64">
        <v>44550</v>
      </c>
      <c r="C32" s="65">
        <v>7</v>
      </c>
      <c r="D32" s="62" t="s">
        <v>101</v>
      </c>
      <c r="E32" s="62" t="s">
        <v>170</v>
      </c>
      <c r="F32" s="62" t="s">
        <v>279</v>
      </c>
      <c r="G32" s="62" t="s">
        <v>170</v>
      </c>
      <c r="H32" s="62" t="s">
        <v>197</v>
      </c>
      <c r="I32" s="64">
        <v>44550</v>
      </c>
      <c r="J32" s="64">
        <v>44550</v>
      </c>
      <c r="K32" s="65" t="s">
        <v>201</v>
      </c>
      <c r="L32" s="62" t="s">
        <v>280</v>
      </c>
      <c r="M32" s="65">
        <v>13.1</v>
      </c>
      <c r="N32" s="62" t="s">
        <v>118</v>
      </c>
      <c r="O32" s="62" t="s">
        <v>92</v>
      </c>
      <c r="P32" s="62" t="s">
        <v>92</v>
      </c>
      <c r="Q32" s="62" t="s">
        <v>92</v>
      </c>
      <c r="R32" s="62" t="s">
        <v>92</v>
      </c>
    </row>
    <row r="33" spans="1:18" ht="195" x14ac:dyDescent="0.25">
      <c r="A33" s="62">
        <v>31</v>
      </c>
      <c r="B33" s="64">
        <v>44550</v>
      </c>
      <c r="C33" s="65">
        <v>7</v>
      </c>
      <c r="D33" s="62">
        <v>7013</v>
      </c>
      <c r="E33" s="62" t="s">
        <v>70</v>
      </c>
      <c r="F33" s="62" t="s">
        <v>287</v>
      </c>
      <c r="G33" s="62" t="s">
        <v>168</v>
      </c>
      <c r="H33" s="62" t="s">
        <v>281</v>
      </c>
      <c r="I33" s="62" t="s">
        <v>272</v>
      </c>
      <c r="J33" s="64">
        <v>44551</v>
      </c>
      <c r="K33" s="65" t="s">
        <v>219</v>
      </c>
      <c r="L33" s="62" t="s">
        <v>92</v>
      </c>
      <c r="M33" s="65">
        <v>13.1</v>
      </c>
      <c r="N33" s="62" t="s">
        <v>118</v>
      </c>
      <c r="O33" s="62" t="s">
        <v>282</v>
      </c>
      <c r="P33" s="62" t="s">
        <v>283</v>
      </c>
      <c r="Q33" s="62" t="s">
        <v>284</v>
      </c>
      <c r="R33" s="62" t="s">
        <v>92</v>
      </c>
    </row>
    <row r="34" spans="1:18" ht="30" x14ac:dyDescent="0.25">
      <c r="A34" s="62">
        <v>32</v>
      </c>
      <c r="B34" s="64">
        <v>44551</v>
      </c>
      <c r="C34" s="65">
        <v>7</v>
      </c>
      <c r="D34" s="62">
        <v>7013</v>
      </c>
      <c r="E34" s="62" t="s">
        <v>170</v>
      </c>
      <c r="F34" s="62" t="s">
        <v>285</v>
      </c>
      <c r="G34" s="62" t="s">
        <v>170</v>
      </c>
      <c r="H34" s="62" t="s">
        <v>197</v>
      </c>
      <c r="I34" s="62" t="s">
        <v>240</v>
      </c>
      <c r="J34" s="64">
        <v>44551</v>
      </c>
      <c r="K34" s="65" t="s">
        <v>286</v>
      </c>
      <c r="L34" s="62" t="s">
        <v>202</v>
      </c>
      <c r="M34" s="65">
        <v>13.1</v>
      </c>
      <c r="N34" s="62" t="s">
        <v>118</v>
      </c>
      <c r="O34" s="62" t="s">
        <v>92</v>
      </c>
      <c r="P34" s="62" t="s">
        <v>92</v>
      </c>
      <c r="Q34" s="62" t="s">
        <v>92</v>
      </c>
      <c r="R34" s="62" t="s">
        <v>92</v>
      </c>
    </row>
    <row r="35" spans="1:18" ht="30" x14ac:dyDescent="0.25">
      <c r="A35" s="62">
        <v>33</v>
      </c>
      <c r="B35" s="64" t="s">
        <v>240</v>
      </c>
      <c r="C35" s="65">
        <v>7</v>
      </c>
      <c r="D35" s="62">
        <v>7013</v>
      </c>
      <c r="E35" s="62" t="s">
        <v>67</v>
      </c>
      <c r="F35" s="62" t="s">
        <v>288</v>
      </c>
      <c r="G35" s="62" t="s">
        <v>168</v>
      </c>
      <c r="H35" s="62" t="s">
        <v>289</v>
      </c>
      <c r="I35" s="62" t="s">
        <v>240</v>
      </c>
      <c r="J35" s="64">
        <v>44551</v>
      </c>
      <c r="K35" s="65" t="s">
        <v>290</v>
      </c>
      <c r="L35" s="62" t="s">
        <v>172</v>
      </c>
      <c r="M35" s="65">
        <v>13.1</v>
      </c>
      <c r="N35" s="62" t="s">
        <v>118</v>
      </c>
      <c r="O35" s="62" t="s">
        <v>92</v>
      </c>
      <c r="P35" s="62" t="s">
        <v>92</v>
      </c>
      <c r="Q35" s="62" t="s">
        <v>92</v>
      </c>
      <c r="R35" s="62" t="s">
        <v>92</v>
      </c>
    </row>
    <row r="36" spans="1:18" ht="165" x14ac:dyDescent="0.25">
      <c r="A36" s="62">
        <v>34</v>
      </c>
      <c r="B36" s="64">
        <v>44551</v>
      </c>
      <c r="C36" s="65">
        <v>7</v>
      </c>
      <c r="D36" s="62" t="s">
        <v>101</v>
      </c>
      <c r="E36" s="62" t="s">
        <v>78</v>
      </c>
      <c r="F36" s="62" t="s">
        <v>291</v>
      </c>
      <c r="G36" s="62" t="s">
        <v>168</v>
      </c>
      <c r="H36" s="62" t="s">
        <v>292</v>
      </c>
      <c r="I36" s="62" t="s">
        <v>293</v>
      </c>
      <c r="J36" s="64">
        <v>44552</v>
      </c>
      <c r="K36" s="65" t="s">
        <v>294</v>
      </c>
      <c r="L36" s="62" t="s">
        <v>202</v>
      </c>
      <c r="M36" s="65">
        <v>13.1</v>
      </c>
      <c r="N36" s="62" t="s">
        <v>118</v>
      </c>
      <c r="O36" s="62" t="s">
        <v>295</v>
      </c>
      <c r="P36" s="62" t="s">
        <v>92</v>
      </c>
      <c r="Q36" s="62" t="s">
        <v>92</v>
      </c>
      <c r="R36" s="62" t="s">
        <v>92</v>
      </c>
    </row>
    <row r="37" spans="1:18" ht="30" x14ac:dyDescent="0.25">
      <c r="A37" s="62">
        <v>35</v>
      </c>
      <c r="B37" s="64" t="s">
        <v>240</v>
      </c>
      <c r="C37" s="65">
        <v>7</v>
      </c>
      <c r="D37" s="62" t="s">
        <v>101</v>
      </c>
      <c r="E37" s="62" t="s">
        <v>194</v>
      </c>
      <c r="F37" s="62" t="s">
        <v>296</v>
      </c>
      <c r="G37" s="62" t="s">
        <v>170</v>
      </c>
      <c r="H37" s="62" t="s">
        <v>297</v>
      </c>
      <c r="I37" s="62" t="s">
        <v>298</v>
      </c>
      <c r="J37" s="64">
        <v>44552</v>
      </c>
      <c r="K37" s="65" t="s">
        <v>299</v>
      </c>
      <c r="L37" s="62" t="s">
        <v>202</v>
      </c>
      <c r="M37" s="65">
        <v>13.1</v>
      </c>
      <c r="N37" s="62" t="s">
        <v>118</v>
      </c>
      <c r="O37" s="62" t="s">
        <v>92</v>
      </c>
      <c r="P37" s="62" t="s">
        <v>92</v>
      </c>
      <c r="Q37" s="62" t="s">
        <v>92</v>
      </c>
      <c r="R37" s="62" t="s">
        <v>92</v>
      </c>
    </row>
    <row r="38" spans="1:18" ht="60" x14ac:dyDescent="0.25">
      <c r="A38" s="62">
        <v>36</v>
      </c>
      <c r="B38" s="64" t="s">
        <v>298</v>
      </c>
      <c r="C38" s="65">
        <v>7</v>
      </c>
      <c r="D38" s="62">
        <v>7013</v>
      </c>
      <c r="E38" s="62" t="s">
        <v>67</v>
      </c>
      <c r="F38" s="62" t="s">
        <v>300</v>
      </c>
      <c r="G38" s="62" t="s">
        <v>211</v>
      </c>
      <c r="H38" s="62" t="s">
        <v>301</v>
      </c>
      <c r="I38" s="62" t="s">
        <v>302</v>
      </c>
      <c r="J38" s="64">
        <v>44581</v>
      </c>
      <c r="K38" s="65" t="s">
        <v>303</v>
      </c>
      <c r="L38" s="62" t="s">
        <v>182</v>
      </c>
      <c r="M38" s="65">
        <v>23.1</v>
      </c>
      <c r="N38" s="62" t="s">
        <v>118</v>
      </c>
      <c r="O38" s="62" t="s">
        <v>304</v>
      </c>
      <c r="P38" s="62" t="s">
        <v>92</v>
      </c>
      <c r="Q38" s="62" t="s">
        <v>92</v>
      </c>
      <c r="R38" s="62" t="s">
        <v>92</v>
      </c>
    </row>
    <row r="39" spans="1:18" ht="195" x14ac:dyDescent="0.25">
      <c r="A39" s="62">
        <v>37</v>
      </c>
      <c r="B39" s="64" t="s">
        <v>298</v>
      </c>
      <c r="C39" s="65">
        <v>7</v>
      </c>
      <c r="D39" s="62">
        <v>7013</v>
      </c>
      <c r="E39" s="62" t="s">
        <v>78</v>
      </c>
      <c r="F39" s="62" t="s">
        <v>305</v>
      </c>
      <c r="G39" s="62" t="s">
        <v>93</v>
      </c>
      <c r="H39" s="62" t="s">
        <v>306</v>
      </c>
      <c r="I39" s="62" t="s">
        <v>307</v>
      </c>
      <c r="J39" s="64">
        <v>44560</v>
      </c>
      <c r="K39" s="65" t="s">
        <v>308</v>
      </c>
      <c r="L39" s="62" t="s">
        <v>202</v>
      </c>
      <c r="M39" s="65">
        <v>13.1</v>
      </c>
      <c r="N39" s="62" t="s">
        <v>118</v>
      </c>
      <c r="O39" s="62" t="s">
        <v>92</v>
      </c>
      <c r="P39" s="62" t="s">
        <v>92</v>
      </c>
      <c r="Q39" s="62" t="s">
        <v>92</v>
      </c>
      <c r="R39" s="62" t="s">
        <v>92</v>
      </c>
    </row>
    <row r="40" spans="1:18" ht="90" x14ac:dyDescent="0.25">
      <c r="A40" s="62">
        <v>38</v>
      </c>
      <c r="B40" s="64" t="s">
        <v>298</v>
      </c>
      <c r="C40" s="65">
        <v>7</v>
      </c>
      <c r="D40" s="62">
        <v>7013</v>
      </c>
      <c r="E40" s="62" t="s">
        <v>309</v>
      </c>
      <c r="F40" s="62" t="s">
        <v>310</v>
      </c>
      <c r="G40" s="62" t="s">
        <v>313</v>
      </c>
      <c r="H40" s="62" t="s">
        <v>311</v>
      </c>
      <c r="I40" s="64">
        <v>44552</v>
      </c>
      <c r="J40" s="64">
        <v>44552</v>
      </c>
      <c r="K40" s="65" t="s">
        <v>308</v>
      </c>
      <c r="L40" s="62" t="s">
        <v>172</v>
      </c>
      <c r="M40" s="65">
        <v>13.1</v>
      </c>
      <c r="N40" s="62" t="s">
        <v>118</v>
      </c>
      <c r="O40" s="62" t="s">
        <v>312</v>
      </c>
      <c r="P40" s="62" t="s">
        <v>92</v>
      </c>
      <c r="Q40" s="62" t="s">
        <v>92</v>
      </c>
      <c r="R40" s="62" t="s">
        <v>92</v>
      </c>
    </row>
    <row r="41" spans="1:18" ht="45" x14ac:dyDescent="0.25">
      <c r="A41" s="62">
        <v>39</v>
      </c>
      <c r="B41" s="64" t="s">
        <v>298</v>
      </c>
      <c r="C41" s="65">
        <v>7</v>
      </c>
      <c r="D41" s="62" t="s">
        <v>101</v>
      </c>
      <c r="E41" s="62" t="s">
        <v>70</v>
      </c>
      <c r="F41" s="62" t="s">
        <v>540</v>
      </c>
      <c r="G41" s="62" t="s">
        <v>211</v>
      </c>
      <c r="H41" s="62" t="s">
        <v>314</v>
      </c>
      <c r="I41" s="62" t="s">
        <v>315</v>
      </c>
      <c r="K41" s="62" t="s">
        <v>92</v>
      </c>
      <c r="L41" s="62" t="s">
        <v>92</v>
      </c>
      <c r="M41" s="65">
        <v>15.2</v>
      </c>
      <c r="N41" s="62" t="s">
        <v>118</v>
      </c>
      <c r="O41" s="62" t="s">
        <v>92</v>
      </c>
      <c r="P41" s="62" t="s">
        <v>92</v>
      </c>
      <c r="Q41" s="62" t="s">
        <v>92</v>
      </c>
      <c r="R41" s="62" t="s">
        <v>92</v>
      </c>
    </row>
    <row r="42" spans="1:18" ht="75" x14ac:dyDescent="0.25">
      <c r="A42" s="62">
        <v>40</v>
      </c>
      <c r="B42" s="64" t="s">
        <v>293</v>
      </c>
      <c r="C42" s="65">
        <v>7</v>
      </c>
      <c r="D42" s="62">
        <v>7013</v>
      </c>
      <c r="E42" s="62" t="s">
        <v>78</v>
      </c>
      <c r="F42" s="62" t="s">
        <v>316</v>
      </c>
      <c r="G42" s="62" t="s">
        <v>170</v>
      </c>
      <c r="H42" s="62" t="s">
        <v>197</v>
      </c>
      <c r="I42" s="62" t="s">
        <v>293</v>
      </c>
      <c r="J42" s="64">
        <v>44553</v>
      </c>
      <c r="K42" s="62" t="s">
        <v>219</v>
      </c>
      <c r="L42" s="64" t="s">
        <v>172</v>
      </c>
      <c r="M42" s="65">
        <v>13.1</v>
      </c>
      <c r="N42" s="62" t="s">
        <v>118</v>
      </c>
      <c r="O42" s="62" t="s">
        <v>92</v>
      </c>
      <c r="P42" s="62" t="s">
        <v>92</v>
      </c>
      <c r="Q42" s="62" t="s">
        <v>92</v>
      </c>
      <c r="R42" s="62" t="s">
        <v>92</v>
      </c>
    </row>
    <row r="43" spans="1:18" ht="150" x14ac:dyDescent="0.25">
      <c r="A43" s="62">
        <v>41</v>
      </c>
      <c r="B43" s="64">
        <v>44553</v>
      </c>
      <c r="C43" s="65">
        <v>7</v>
      </c>
      <c r="D43" s="62">
        <v>7013</v>
      </c>
      <c r="E43" s="62" t="s">
        <v>69</v>
      </c>
      <c r="F43" s="62" t="s">
        <v>320</v>
      </c>
      <c r="G43" s="62" t="s">
        <v>211</v>
      </c>
      <c r="H43" s="62" t="s">
        <v>317</v>
      </c>
      <c r="I43" s="64">
        <v>44566</v>
      </c>
      <c r="J43" s="64">
        <v>44572</v>
      </c>
      <c r="K43" s="62" t="s">
        <v>318</v>
      </c>
      <c r="L43" s="62" t="s">
        <v>202</v>
      </c>
      <c r="M43" s="65">
        <v>12.1</v>
      </c>
      <c r="N43" s="62" t="s">
        <v>118</v>
      </c>
      <c r="O43" s="62" t="s">
        <v>319</v>
      </c>
      <c r="P43" s="62"/>
      <c r="Q43" s="62"/>
      <c r="R43" s="62"/>
    </row>
    <row r="44" spans="1:18" ht="60" x14ac:dyDescent="0.25">
      <c r="A44" s="62">
        <v>42</v>
      </c>
      <c r="B44" s="64" t="s">
        <v>321</v>
      </c>
      <c r="C44" s="65">
        <v>7</v>
      </c>
      <c r="D44" s="62" t="s">
        <v>101</v>
      </c>
      <c r="E44" s="62" t="s">
        <v>160</v>
      </c>
      <c r="F44" s="62" t="s">
        <v>322</v>
      </c>
      <c r="G44" s="62" t="s">
        <v>160</v>
      </c>
      <c r="H44" s="62" t="s">
        <v>323</v>
      </c>
      <c r="I44" s="62" t="s">
        <v>179</v>
      </c>
      <c r="K44" s="62" t="s">
        <v>92</v>
      </c>
      <c r="L44" s="62" t="s">
        <v>92</v>
      </c>
      <c r="M44" s="65">
        <v>13.1</v>
      </c>
      <c r="N44" s="62" t="s">
        <v>118</v>
      </c>
      <c r="O44" s="62" t="s">
        <v>92</v>
      </c>
      <c r="P44" s="62" t="s">
        <v>92</v>
      </c>
      <c r="Q44" s="62" t="s">
        <v>92</v>
      </c>
      <c r="R44" s="62" t="s">
        <v>92</v>
      </c>
    </row>
    <row r="45" spans="1:18" ht="75" x14ac:dyDescent="0.25">
      <c r="A45" s="62">
        <v>43</v>
      </c>
      <c r="B45" s="64" t="s">
        <v>324</v>
      </c>
      <c r="C45" s="65">
        <v>7</v>
      </c>
      <c r="D45" s="62">
        <v>7013</v>
      </c>
      <c r="E45" s="62" t="s">
        <v>170</v>
      </c>
      <c r="F45" s="62" t="s">
        <v>325</v>
      </c>
      <c r="G45" s="62" t="s">
        <v>170</v>
      </c>
      <c r="H45" s="62" t="s">
        <v>201</v>
      </c>
      <c r="I45" s="62" t="s">
        <v>324</v>
      </c>
      <c r="J45" s="64">
        <v>44557</v>
      </c>
      <c r="K45" s="62" t="s">
        <v>201</v>
      </c>
      <c r="L45" s="64" t="s">
        <v>202</v>
      </c>
      <c r="M45" s="65">
        <v>16.5</v>
      </c>
      <c r="N45" s="62" t="s">
        <v>118</v>
      </c>
      <c r="O45" s="62" t="s">
        <v>92</v>
      </c>
      <c r="P45" s="62" t="s">
        <v>92</v>
      </c>
      <c r="Q45" s="62" t="s">
        <v>92</v>
      </c>
      <c r="R45" s="62" t="s">
        <v>92</v>
      </c>
    </row>
    <row r="46" spans="1:18" ht="90" x14ac:dyDescent="0.25">
      <c r="A46" s="62">
        <v>44</v>
      </c>
      <c r="B46" s="64" t="s">
        <v>324</v>
      </c>
      <c r="C46" s="65">
        <v>7</v>
      </c>
      <c r="D46" s="62">
        <v>7013</v>
      </c>
      <c r="E46" s="62" t="s">
        <v>81</v>
      </c>
      <c r="F46" s="62" t="s">
        <v>326</v>
      </c>
      <c r="G46" s="62" t="s">
        <v>211</v>
      </c>
      <c r="H46" s="62" t="s">
        <v>317</v>
      </c>
      <c r="I46" s="62" t="s">
        <v>327</v>
      </c>
      <c r="J46" s="64">
        <v>44567</v>
      </c>
      <c r="K46" s="62" t="s">
        <v>328</v>
      </c>
      <c r="L46" s="62" t="s">
        <v>172</v>
      </c>
      <c r="M46" s="65">
        <v>24.1</v>
      </c>
      <c r="N46" s="62" t="s">
        <v>118</v>
      </c>
      <c r="O46" s="62" t="s">
        <v>329</v>
      </c>
      <c r="P46" s="62" t="s">
        <v>92</v>
      </c>
      <c r="Q46" s="62" t="s">
        <v>92</v>
      </c>
      <c r="R46" s="62" t="s">
        <v>92</v>
      </c>
    </row>
    <row r="47" spans="1:18" ht="75" x14ac:dyDescent="0.25">
      <c r="A47" s="62">
        <v>45</v>
      </c>
      <c r="B47" s="64" t="s">
        <v>324</v>
      </c>
      <c r="C47" s="65">
        <v>7</v>
      </c>
      <c r="D47" s="62">
        <v>7014</v>
      </c>
      <c r="E47" s="62" t="s">
        <v>170</v>
      </c>
      <c r="F47" s="62" t="s">
        <v>330</v>
      </c>
      <c r="G47" s="62" t="s">
        <v>170</v>
      </c>
      <c r="H47" s="62" t="s">
        <v>197</v>
      </c>
      <c r="I47" s="62" t="s">
        <v>331</v>
      </c>
      <c r="J47" s="64">
        <v>44558</v>
      </c>
      <c r="K47" s="62" t="s">
        <v>332</v>
      </c>
      <c r="L47" s="62" t="s">
        <v>333</v>
      </c>
      <c r="M47" s="65">
        <v>24.1</v>
      </c>
      <c r="N47" s="62" t="s">
        <v>118</v>
      </c>
      <c r="O47" s="62" t="s">
        <v>92</v>
      </c>
      <c r="P47" s="62" t="s">
        <v>92</v>
      </c>
      <c r="Q47" s="62" t="s">
        <v>92</v>
      </c>
      <c r="R47" s="62" t="s">
        <v>92</v>
      </c>
    </row>
    <row r="48" spans="1:18" ht="81.75" customHeight="1" x14ac:dyDescent="0.25">
      <c r="A48" s="92">
        <v>46</v>
      </c>
      <c r="B48" s="64">
        <v>44557</v>
      </c>
      <c r="C48" s="65">
        <v>7</v>
      </c>
      <c r="D48" s="62">
        <v>7013</v>
      </c>
      <c r="E48" s="62" t="s">
        <v>194</v>
      </c>
      <c r="F48" s="62" t="s">
        <v>337</v>
      </c>
      <c r="G48" s="62" t="s">
        <v>170</v>
      </c>
      <c r="H48" s="62" t="s">
        <v>338</v>
      </c>
      <c r="I48" s="64">
        <v>44557</v>
      </c>
      <c r="J48" s="64">
        <v>44557</v>
      </c>
      <c r="K48" s="62" t="s">
        <v>339</v>
      </c>
      <c r="L48" s="64" t="s">
        <v>202</v>
      </c>
      <c r="M48" s="65">
        <v>24.1</v>
      </c>
      <c r="N48" s="62" t="s">
        <v>118</v>
      </c>
      <c r="P48" s="62"/>
      <c r="Q48" s="62"/>
      <c r="R48" s="62"/>
    </row>
    <row r="49" spans="1:18" ht="30" x14ac:dyDescent="0.25">
      <c r="A49" s="62">
        <v>47</v>
      </c>
      <c r="B49" s="64">
        <v>44558</v>
      </c>
      <c r="C49" s="65">
        <v>7</v>
      </c>
      <c r="D49" s="62">
        <v>7014</v>
      </c>
      <c r="E49" s="62" t="s">
        <v>77</v>
      </c>
      <c r="F49" s="62" t="s">
        <v>336</v>
      </c>
      <c r="G49" s="62" t="s">
        <v>211</v>
      </c>
      <c r="H49" s="62" t="s">
        <v>317</v>
      </c>
      <c r="I49" s="64">
        <v>44566</v>
      </c>
      <c r="J49" s="64">
        <v>44572</v>
      </c>
      <c r="K49" s="62" t="s">
        <v>334</v>
      </c>
      <c r="L49" s="64" t="s">
        <v>278</v>
      </c>
      <c r="M49" s="62" t="s">
        <v>340</v>
      </c>
      <c r="N49" s="62" t="s">
        <v>117</v>
      </c>
      <c r="O49" s="62" t="s">
        <v>335</v>
      </c>
      <c r="P49" s="62"/>
      <c r="Q49" s="62"/>
      <c r="R49" s="62"/>
    </row>
    <row r="50" spans="1:18" ht="165" x14ac:dyDescent="0.25">
      <c r="A50" s="62">
        <v>48</v>
      </c>
      <c r="B50" s="64" t="s">
        <v>331</v>
      </c>
      <c r="C50" s="65">
        <v>7</v>
      </c>
      <c r="D50" s="62">
        <v>7013</v>
      </c>
      <c r="E50" s="62" t="s">
        <v>67</v>
      </c>
      <c r="F50" s="62" t="s">
        <v>341</v>
      </c>
      <c r="G50" s="62" t="s">
        <v>211</v>
      </c>
      <c r="H50" s="62" t="s">
        <v>301</v>
      </c>
      <c r="I50" s="62" t="s">
        <v>302</v>
      </c>
      <c r="J50" s="64">
        <v>44581</v>
      </c>
      <c r="K50" s="62" t="s">
        <v>303</v>
      </c>
      <c r="L50" s="62" t="s">
        <v>182</v>
      </c>
      <c r="M50" s="62">
        <v>25.1</v>
      </c>
      <c r="N50" s="62" t="s">
        <v>118</v>
      </c>
      <c r="O50" s="62" t="s">
        <v>342</v>
      </c>
      <c r="P50" s="62" t="s">
        <v>92</v>
      </c>
      <c r="Q50" s="62" t="s">
        <v>92</v>
      </c>
      <c r="R50" s="62" t="s">
        <v>92</v>
      </c>
    </row>
    <row r="51" spans="1:18" ht="75" x14ac:dyDescent="0.25">
      <c r="A51" s="62">
        <v>49</v>
      </c>
      <c r="B51" s="64" t="s">
        <v>331</v>
      </c>
      <c r="C51" s="65">
        <v>7</v>
      </c>
      <c r="D51" s="62">
        <v>7014</v>
      </c>
      <c r="E51" s="62" t="s">
        <v>67</v>
      </c>
      <c r="F51" s="62" t="s">
        <v>343</v>
      </c>
      <c r="G51" s="62" t="s">
        <v>170</v>
      </c>
      <c r="H51" s="62" t="s">
        <v>338</v>
      </c>
      <c r="I51" s="62" t="s">
        <v>331</v>
      </c>
      <c r="J51" s="64">
        <v>44558</v>
      </c>
      <c r="K51" s="62" t="s">
        <v>344</v>
      </c>
      <c r="L51" s="64" t="s">
        <v>202</v>
      </c>
      <c r="M51" s="62">
        <v>25.1</v>
      </c>
      <c r="N51" s="62" t="s">
        <v>118</v>
      </c>
      <c r="O51" s="62" t="s">
        <v>92</v>
      </c>
      <c r="P51" s="62" t="s">
        <v>92</v>
      </c>
      <c r="Q51" s="62" t="s">
        <v>92</v>
      </c>
      <c r="R51" s="62" t="s">
        <v>92</v>
      </c>
    </row>
    <row r="52" spans="1:18" ht="90" x14ac:dyDescent="0.25">
      <c r="A52" s="62">
        <v>50</v>
      </c>
      <c r="B52" s="64" t="s">
        <v>345</v>
      </c>
      <c r="C52" s="65">
        <v>7</v>
      </c>
      <c r="D52" s="62">
        <v>7013</v>
      </c>
      <c r="E52" s="62" t="s">
        <v>170</v>
      </c>
      <c r="F52" s="62" t="s">
        <v>346</v>
      </c>
      <c r="G52" s="62" t="s">
        <v>170</v>
      </c>
      <c r="H52" s="62" t="s">
        <v>197</v>
      </c>
      <c r="I52" s="62" t="s">
        <v>345</v>
      </c>
      <c r="J52" s="64">
        <v>44559</v>
      </c>
      <c r="K52" s="64" t="s">
        <v>201</v>
      </c>
      <c r="L52" s="64" t="s">
        <v>202</v>
      </c>
      <c r="M52" s="62">
        <v>15.11</v>
      </c>
      <c r="N52" s="62" t="s">
        <v>118</v>
      </c>
      <c r="O52" s="62" t="s">
        <v>92</v>
      </c>
      <c r="P52" s="62" t="s">
        <v>92</v>
      </c>
      <c r="Q52" s="62" t="s">
        <v>92</v>
      </c>
      <c r="R52" s="62" t="s">
        <v>92</v>
      </c>
    </row>
    <row r="53" spans="1:18" ht="75" x14ac:dyDescent="0.25">
      <c r="A53" s="62">
        <v>51</v>
      </c>
      <c r="B53" s="64" t="s">
        <v>345</v>
      </c>
      <c r="C53" s="65">
        <v>7</v>
      </c>
      <c r="D53" s="62">
        <v>7013</v>
      </c>
      <c r="E53" s="62" t="s">
        <v>521</v>
      </c>
      <c r="F53" s="62" t="s">
        <v>347</v>
      </c>
      <c r="G53" s="62" t="s">
        <v>170</v>
      </c>
      <c r="H53" s="62" t="s">
        <v>218</v>
      </c>
      <c r="I53" s="62" t="s">
        <v>348</v>
      </c>
      <c r="J53" s="64">
        <v>44590</v>
      </c>
      <c r="K53" s="62" t="s">
        <v>349</v>
      </c>
      <c r="L53" s="62" t="s">
        <v>202</v>
      </c>
      <c r="M53" s="62">
        <v>15.1</v>
      </c>
      <c r="N53" s="62" t="s">
        <v>118</v>
      </c>
      <c r="O53" s="62" t="s">
        <v>350</v>
      </c>
      <c r="P53" s="62" t="s">
        <v>351</v>
      </c>
      <c r="Q53" s="62" t="s">
        <v>352</v>
      </c>
      <c r="R53" s="62" t="s">
        <v>92</v>
      </c>
    </row>
    <row r="54" spans="1:18" ht="90" x14ac:dyDescent="0.25">
      <c r="A54" s="62">
        <v>52</v>
      </c>
      <c r="B54" s="64">
        <v>44590</v>
      </c>
      <c r="C54" s="65">
        <v>7</v>
      </c>
      <c r="D54" s="62">
        <v>7013</v>
      </c>
      <c r="E54" s="62" t="s">
        <v>77</v>
      </c>
      <c r="F54" s="62" t="s">
        <v>354</v>
      </c>
      <c r="G54" s="62" t="s">
        <v>211</v>
      </c>
      <c r="H54" s="62" t="s">
        <v>358</v>
      </c>
      <c r="I54" s="64">
        <v>44566</v>
      </c>
      <c r="J54" s="64">
        <v>44572</v>
      </c>
      <c r="K54" s="62" t="s">
        <v>355</v>
      </c>
      <c r="L54" s="62" t="s">
        <v>278</v>
      </c>
      <c r="M54" s="62" t="s">
        <v>357</v>
      </c>
      <c r="N54" s="62" t="s">
        <v>117</v>
      </c>
      <c r="O54" s="62" t="s">
        <v>356</v>
      </c>
      <c r="P54" s="62">
        <v>200003</v>
      </c>
      <c r="Q54" s="62">
        <v>200006</v>
      </c>
      <c r="R54" s="62"/>
    </row>
    <row r="55" spans="1:18" ht="60" x14ac:dyDescent="0.25">
      <c r="A55" s="62">
        <v>53</v>
      </c>
      <c r="B55" s="64" t="s">
        <v>345</v>
      </c>
      <c r="C55" s="65">
        <v>7</v>
      </c>
      <c r="D55" s="62" t="s">
        <v>101</v>
      </c>
      <c r="E55" s="62" t="s">
        <v>160</v>
      </c>
      <c r="F55" s="62" t="s">
        <v>359</v>
      </c>
      <c r="G55" s="62" t="s">
        <v>160</v>
      </c>
      <c r="H55" s="62" t="s">
        <v>360</v>
      </c>
      <c r="I55" s="62" t="s">
        <v>179</v>
      </c>
      <c r="K55" s="62" t="s">
        <v>92</v>
      </c>
      <c r="L55" s="62" t="s">
        <v>92</v>
      </c>
      <c r="M55" s="62">
        <v>15.1</v>
      </c>
      <c r="N55" s="62" t="s">
        <v>118</v>
      </c>
      <c r="O55" s="62" t="s">
        <v>92</v>
      </c>
      <c r="P55" s="62" t="s">
        <v>92</v>
      </c>
      <c r="Q55" s="62" t="s">
        <v>92</v>
      </c>
      <c r="R55" s="62" t="s">
        <v>92</v>
      </c>
    </row>
    <row r="56" spans="1:18" ht="75" x14ac:dyDescent="0.25">
      <c r="A56" s="62">
        <v>54</v>
      </c>
      <c r="B56" s="64" t="s">
        <v>345</v>
      </c>
      <c r="C56" s="65">
        <v>7</v>
      </c>
      <c r="D56" s="62">
        <v>7013</v>
      </c>
      <c r="E56" s="62" t="s">
        <v>170</v>
      </c>
      <c r="F56" s="62" t="s">
        <v>361</v>
      </c>
      <c r="G56" s="62" t="s">
        <v>170</v>
      </c>
      <c r="H56" s="62" t="s">
        <v>197</v>
      </c>
      <c r="I56" s="62" t="s">
        <v>345</v>
      </c>
      <c r="J56" s="64">
        <v>44559</v>
      </c>
      <c r="K56" s="62" t="s">
        <v>201</v>
      </c>
      <c r="L56" s="62" t="s">
        <v>202</v>
      </c>
      <c r="M56" s="62">
        <v>15.11</v>
      </c>
      <c r="N56" s="62" t="s">
        <v>118</v>
      </c>
      <c r="O56" s="62" t="s">
        <v>92</v>
      </c>
      <c r="P56" s="62" t="s">
        <v>92</v>
      </c>
      <c r="Q56" s="62" t="s">
        <v>92</v>
      </c>
      <c r="R56" s="62" t="s">
        <v>92</v>
      </c>
    </row>
    <row r="57" spans="1:18" ht="75" x14ac:dyDescent="0.25">
      <c r="A57" s="62">
        <v>55</v>
      </c>
      <c r="B57" s="64" t="s">
        <v>345</v>
      </c>
      <c r="C57" s="65">
        <v>7</v>
      </c>
      <c r="D57" s="62">
        <v>7013</v>
      </c>
      <c r="E57" s="62" t="s">
        <v>170</v>
      </c>
      <c r="F57" s="62" t="s">
        <v>362</v>
      </c>
      <c r="G57" s="62" t="s">
        <v>170</v>
      </c>
      <c r="H57" s="62" t="s">
        <v>197</v>
      </c>
      <c r="I57" s="62" t="s">
        <v>345</v>
      </c>
      <c r="J57" s="64">
        <v>44559</v>
      </c>
      <c r="K57" s="62" t="s">
        <v>201</v>
      </c>
      <c r="L57" s="62" t="s">
        <v>202</v>
      </c>
      <c r="M57" s="62">
        <v>25.4</v>
      </c>
      <c r="N57" s="62" t="s">
        <v>118</v>
      </c>
      <c r="O57" s="62" t="s">
        <v>92</v>
      </c>
      <c r="P57" s="62" t="s">
        <v>92</v>
      </c>
      <c r="Q57" s="62" t="s">
        <v>92</v>
      </c>
      <c r="R57" s="62" t="s">
        <v>92</v>
      </c>
    </row>
    <row r="58" spans="1:18" ht="60" x14ac:dyDescent="0.25">
      <c r="A58" s="62">
        <v>56</v>
      </c>
      <c r="B58" s="64" t="s">
        <v>345</v>
      </c>
      <c r="C58" s="65">
        <v>7</v>
      </c>
      <c r="D58" s="62">
        <v>7014</v>
      </c>
      <c r="E58" s="62" t="s">
        <v>194</v>
      </c>
      <c r="F58" s="62" t="s">
        <v>363</v>
      </c>
      <c r="G58" s="62" t="s">
        <v>170</v>
      </c>
      <c r="H58" s="62" t="s">
        <v>344</v>
      </c>
      <c r="I58" s="62" t="s">
        <v>345</v>
      </c>
      <c r="J58" s="64">
        <v>44590</v>
      </c>
      <c r="K58" s="62" t="s">
        <v>201</v>
      </c>
      <c r="L58" s="62" t="s">
        <v>202</v>
      </c>
      <c r="M58" s="62">
        <v>15.11</v>
      </c>
      <c r="N58" s="62" t="s">
        <v>118</v>
      </c>
      <c r="O58" s="62" t="s">
        <v>92</v>
      </c>
      <c r="P58" s="62" t="s">
        <v>92</v>
      </c>
      <c r="Q58" s="62" t="s">
        <v>92</v>
      </c>
      <c r="R58" s="62" t="s">
        <v>92</v>
      </c>
    </row>
    <row r="59" spans="1:18" ht="60" x14ac:dyDescent="0.25">
      <c r="A59" s="62">
        <v>57</v>
      </c>
      <c r="B59" s="64" t="s">
        <v>345</v>
      </c>
      <c r="C59" s="65">
        <v>7</v>
      </c>
      <c r="D59" s="62">
        <v>7014</v>
      </c>
      <c r="E59" s="62" t="s">
        <v>170</v>
      </c>
      <c r="F59" s="62" t="s">
        <v>364</v>
      </c>
      <c r="G59" s="62" t="s">
        <v>170</v>
      </c>
      <c r="H59" s="62" t="s">
        <v>197</v>
      </c>
      <c r="I59" s="62" t="s">
        <v>345</v>
      </c>
      <c r="J59" s="64">
        <v>44590</v>
      </c>
      <c r="K59" s="62" t="s">
        <v>201</v>
      </c>
      <c r="L59" s="62" t="s">
        <v>202</v>
      </c>
      <c r="M59" s="62">
        <v>15.11</v>
      </c>
      <c r="N59" s="62" t="s">
        <v>118</v>
      </c>
      <c r="O59" s="62" t="s">
        <v>92</v>
      </c>
      <c r="P59" s="62" t="s">
        <v>92</v>
      </c>
      <c r="Q59" s="62" t="s">
        <v>92</v>
      </c>
      <c r="R59" s="62" t="s">
        <v>92</v>
      </c>
    </row>
    <row r="60" spans="1:18" ht="30" x14ac:dyDescent="0.25">
      <c r="A60" s="62">
        <v>58</v>
      </c>
      <c r="B60" s="64" t="s">
        <v>345</v>
      </c>
      <c r="C60" s="65">
        <v>7</v>
      </c>
      <c r="D60" s="62">
        <v>7014</v>
      </c>
      <c r="E60" s="62" t="s">
        <v>67</v>
      </c>
      <c r="F60" s="62" t="s">
        <v>365</v>
      </c>
      <c r="G60" s="62" t="s">
        <v>170</v>
      </c>
      <c r="H60" s="62" t="s">
        <v>317</v>
      </c>
      <c r="I60" s="64">
        <v>44581</v>
      </c>
      <c r="K60" s="62" t="s">
        <v>92</v>
      </c>
      <c r="L60" s="62" t="s">
        <v>92</v>
      </c>
      <c r="M60" s="62">
        <v>25.2</v>
      </c>
      <c r="N60" s="62" t="s">
        <v>118</v>
      </c>
      <c r="O60" s="62" t="s">
        <v>92</v>
      </c>
      <c r="P60" s="62" t="s">
        <v>92</v>
      </c>
      <c r="Q60" s="62" t="s">
        <v>92</v>
      </c>
      <c r="R60" s="62" t="s">
        <v>92</v>
      </c>
    </row>
    <row r="61" spans="1:18" ht="135" x14ac:dyDescent="0.25">
      <c r="A61" s="62">
        <v>59</v>
      </c>
      <c r="B61" s="64" t="s">
        <v>353</v>
      </c>
      <c r="C61" s="65">
        <v>7</v>
      </c>
      <c r="D61" s="62">
        <v>7014</v>
      </c>
      <c r="E61" s="62" t="s">
        <v>366</v>
      </c>
      <c r="F61" s="62" t="s">
        <v>367</v>
      </c>
      <c r="G61" s="62" t="s">
        <v>211</v>
      </c>
      <c r="H61" s="62" t="s">
        <v>368</v>
      </c>
      <c r="I61" s="64">
        <v>44592</v>
      </c>
      <c r="K61" s="62" t="s">
        <v>92</v>
      </c>
      <c r="L61" s="62" t="s">
        <v>92</v>
      </c>
      <c r="M61" s="62">
        <v>22.2</v>
      </c>
      <c r="N61" s="62" t="s">
        <v>118</v>
      </c>
      <c r="O61" s="62" t="s">
        <v>92</v>
      </c>
      <c r="P61" s="62" t="s">
        <v>92</v>
      </c>
      <c r="Q61" s="62" t="s">
        <v>92</v>
      </c>
      <c r="R61" s="62" t="s">
        <v>92</v>
      </c>
    </row>
    <row r="62" spans="1:18" ht="75" x14ac:dyDescent="0.25">
      <c r="A62" s="62">
        <v>60</v>
      </c>
      <c r="B62" s="64" t="s">
        <v>307</v>
      </c>
      <c r="C62" s="65">
        <v>7</v>
      </c>
      <c r="D62" s="62">
        <v>7013</v>
      </c>
      <c r="E62" s="62" t="s">
        <v>170</v>
      </c>
      <c r="F62" s="62" t="s">
        <v>370</v>
      </c>
      <c r="G62" s="62" t="s">
        <v>170</v>
      </c>
      <c r="H62" s="62" t="s">
        <v>201</v>
      </c>
      <c r="I62" s="62" t="s">
        <v>371</v>
      </c>
      <c r="J62" s="64">
        <v>44925</v>
      </c>
      <c r="K62" s="62" t="s">
        <v>201</v>
      </c>
      <c r="L62" s="62" t="s">
        <v>202</v>
      </c>
      <c r="M62" s="62">
        <v>26.2</v>
      </c>
      <c r="N62" s="62" t="s">
        <v>118</v>
      </c>
      <c r="O62" s="62" t="s">
        <v>92</v>
      </c>
      <c r="P62" s="62" t="s">
        <v>92</v>
      </c>
      <c r="Q62" s="62" t="s">
        <v>92</v>
      </c>
      <c r="R62" s="62" t="s">
        <v>92</v>
      </c>
    </row>
    <row r="63" spans="1:18" ht="60" x14ac:dyDescent="0.25">
      <c r="A63" s="62">
        <v>61</v>
      </c>
      <c r="B63" s="64" t="s">
        <v>348</v>
      </c>
      <c r="C63" s="65">
        <v>7</v>
      </c>
      <c r="D63" s="62" t="s">
        <v>101</v>
      </c>
      <c r="E63" s="62" t="s">
        <v>82</v>
      </c>
      <c r="F63" s="62" t="s">
        <v>372</v>
      </c>
      <c r="G63" s="62" t="s">
        <v>160</v>
      </c>
      <c r="H63" s="62" t="s">
        <v>323</v>
      </c>
      <c r="I63" s="62" t="s">
        <v>179</v>
      </c>
      <c r="K63" s="62" t="s">
        <v>92</v>
      </c>
      <c r="L63" s="62" t="s">
        <v>92</v>
      </c>
      <c r="M63" s="62">
        <v>26.3</v>
      </c>
      <c r="N63" s="62" t="s">
        <v>118</v>
      </c>
      <c r="O63" s="62" t="s">
        <v>92</v>
      </c>
      <c r="P63" s="62" t="s">
        <v>92</v>
      </c>
      <c r="Q63" s="62" t="s">
        <v>92</v>
      </c>
      <c r="R63" s="62" t="s">
        <v>92</v>
      </c>
    </row>
    <row r="64" spans="1:18" ht="60" x14ac:dyDescent="0.25">
      <c r="A64" s="62">
        <v>62</v>
      </c>
      <c r="B64" s="64" t="s">
        <v>348</v>
      </c>
      <c r="C64" s="65">
        <v>7</v>
      </c>
      <c r="D64" s="62">
        <v>7013</v>
      </c>
      <c r="E64" s="62" t="s">
        <v>82</v>
      </c>
      <c r="F64" s="62" t="s">
        <v>373</v>
      </c>
      <c r="G64" s="62" t="s">
        <v>170</v>
      </c>
      <c r="H64" s="62" t="s">
        <v>201</v>
      </c>
      <c r="I64" s="62" t="s">
        <v>348</v>
      </c>
      <c r="J64" s="64">
        <v>44564</v>
      </c>
      <c r="K64" s="62" t="s">
        <v>374</v>
      </c>
      <c r="L64" s="64" t="s">
        <v>202</v>
      </c>
      <c r="M64" s="62">
        <v>16.100000000000001</v>
      </c>
      <c r="N64" s="62" t="s">
        <v>118</v>
      </c>
      <c r="O64" s="62" t="s">
        <v>92</v>
      </c>
      <c r="P64" s="62" t="s">
        <v>92</v>
      </c>
      <c r="Q64" s="62" t="s">
        <v>92</v>
      </c>
      <c r="R64" s="62" t="s">
        <v>92</v>
      </c>
    </row>
    <row r="65" spans="1:18" ht="45" x14ac:dyDescent="0.25">
      <c r="A65" s="62">
        <v>63</v>
      </c>
      <c r="B65" s="64" t="s">
        <v>348</v>
      </c>
      <c r="C65" s="65">
        <v>7</v>
      </c>
      <c r="D65" s="62" t="s">
        <v>101</v>
      </c>
      <c r="E65" s="62" t="s">
        <v>82</v>
      </c>
      <c r="F65" s="62" t="s">
        <v>375</v>
      </c>
      <c r="G65" s="62" t="s">
        <v>170</v>
      </c>
      <c r="H65" s="62" t="s">
        <v>201</v>
      </c>
      <c r="I65" s="62" t="s">
        <v>348</v>
      </c>
      <c r="J65" s="64">
        <v>44591</v>
      </c>
      <c r="K65" s="62" t="s">
        <v>201</v>
      </c>
      <c r="L65" s="62" t="s">
        <v>92</v>
      </c>
      <c r="M65" s="62">
        <v>30.1</v>
      </c>
      <c r="N65" s="62" t="s">
        <v>118</v>
      </c>
      <c r="O65" s="62" t="s">
        <v>92</v>
      </c>
      <c r="P65" s="62" t="s">
        <v>92</v>
      </c>
      <c r="Q65" s="62" t="s">
        <v>92</v>
      </c>
      <c r="R65" s="62" t="s">
        <v>92</v>
      </c>
    </row>
    <row r="66" spans="1:18" ht="90" x14ac:dyDescent="0.25">
      <c r="A66" s="62">
        <v>64</v>
      </c>
      <c r="B66" s="64" t="s">
        <v>348</v>
      </c>
      <c r="C66" s="65">
        <v>7</v>
      </c>
      <c r="D66" s="62" t="s">
        <v>101</v>
      </c>
      <c r="E66" s="62" t="s">
        <v>165</v>
      </c>
      <c r="F66" s="62" t="s">
        <v>376</v>
      </c>
      <c r="G66" s="62" t="s">
        <v>160</v>
      </c>
      <c r="H66" s="62" t="s">
        <v>377</v>
      </c>
      <c r="I66" s="64">
        <v>44566</v>
      </c>
      <c r="J66" s="64">
        <v>44572</v>
      </c>
      <c r="K66" s="62" t="s">
        <v>378</v>
      </c>
      <c r="L66" s="64" t="s">
        <v>379</v>
      </c>
      <c r="M66" s="62">
        <v>26.8</v>
      </c>
      <c r="N66" s="62" t="s">
        <v>118</v>
      </c>
      <c r="O66" s="62" t="s">
        <v>92</v>
      </c>
      <c r="P66" s="62" t="s">
        <v>92</v>
      </c>
      <c r="Q66" s="62" t="s">
        <v>92</v>
      </c>
      <c r="R66" s="62" t="s">
        <v>92</v>
      </c>
    </row>
    <row r="67" spans="1:18" ht="60" x14ac:dyDescent="0.25">
      <c r="A67" s="62">
        <v>65</v>
      </c>
      <c r="B67" s="64" t="s">
        <v>348</v>
      </c>
      <c r="C67" s="65">
        <v>7</v>
      </c>
      <c r="D67" s="62">
        <v>7014</v>
      </c>
      <c r="E67" s="62" t="s">
        <v>165</v>
      </c>
      <c r="F67" s="62" t="s">
        <v>380</v>
      </c>
      <c r="G67" s="62" t="s">
        <v>211</v>
      </c>
      <c r="H67" s="62" t="s">
        <v>381</v>
      </c>
      <c r="I67" s="62" t="s">
        <v>302</v>
      </c>
      <c r="J67" s="64">
        <v>44565</v>
      </c>
      <c r="K67" s="62" t="s">
        <v>382</v>
      </c>
      <c r="L67" s="62" t="s">
        <v>182</v>
      </c>
      <c r="M67" s="62">
        <v>26.11</v>
      </c>
      <c r="N67" s="62" t="s">
        <v>118</v>
      </c>
      <c r="O67" s="62" t="s">
        <v>92</v>
      </c>
      <c r="P67" s="62" t="s">
        <v>92</v>
      </c>
      <c r="Q67" s="62" t="s">
        <v>92</v>
      </c>
      <c r="R67" s="62" t="s">
        <v>92</v>
      </c>
    </row>
    <row r="68" spans="1:18" ht="30" x14ac:dyDescent="0.25">
      <c r="A68" s="62">
        <v>66</v>
      </c>
      <c r="B68" s="64" t="s">
        <v>302</v>
      </c>
      <c r="C68" s="65">
        <v>7</v>
      </c>
      <c r="D68" s="62">
        <v>7013</v>
      </c>
      <c r="E68" s="62" t="s">
        <v>92</v>
      </c>
      <c r="F68" s="62" t="s">
        <v>384</v>
      </c>
      <c r="G68" s="62" t="s">
        <v>211</v>
      </c>
      <c r="H68" s="62" t="s">
        <v>201</v>
      </c>
      <c r="I68" s="62" t="s">
        <v>302</v>
      </c>
      <c r="J68" s="64">
        <v>44565</v>
      </c>
      <c r="K68" s="62" t="s">
        <v>201</v>
      </c>
      <c r="L68" s="62" t="s">
        <v>202</v>
      </c>
      <c r="M68" s="62">
        <v>25.3</v>
      </c>
      <c r="N68" s="62" t="s">
        <v>118</v>
      </c>
      <c r="O68" s="62" t="s">
        <v>92</v>
      </c>
      <c r="P68" s="62" t="s">
        <v>92</v>
      </c>
      <c r="Q68" s="62" t="s">
        <v>92</v>
      </c>
      <c r="R68" s="62" t="s">
        <v>92</v>
      </c>
    </row>
    <row r="69" spans="1:18" ht="30" x14ac:dyDescent="0.25">
      <c r="A69" s="62">
        <v>67</v>
      </c>
      <c r="B69" s="64" t="s">
        <v>302</v>
      </c>
      <c r="C69" s="65">
        <v>7</v>
      </c>
      <c r="D69" s="62" t="s">
        <v>101</v>
      </c>
      <c r="E69" s="62" t="s">
        <v>92</v>
      </c>
      <c r="F69" s="62" t="s">
        <v>385</v>
      </c>
      <c r="G69" s="62" t="s">
        <v>170</v>
      </c>
      <c r="H69" s="62" t="s">
        <v>201</v>
      </c>
      <c r="I69" s="62" t="s">
        <v>302</v>
      </c>
      <c r="J69" s="64">
        <v>44565</v>
      </c>
      <c r="K69" s="62" t="s">
        <v>201</v>
      </c>
      <c r="L69" s="62" t="s">
        <v>172</v>
      </c>
      <c r="M69" s="62">
        <v>19.100000000000001</v>
      </c>
      <c r="N69" s="62" t="s">
        <v>118</v>
      </c>
      <c r="O69" s="62" t="s">
        <v>92</v>
      </c>
      <c r="P69" s="62" t="s">
        <v>92</v>
      </c>
      <c r="Q69" s="62" t="s">
        <v>92</v>
      </c>
      <c r="R69" s="62" t="s">
        <v>92</v>
      </c>
    </row>
    <row r="70" spans="1:18" ht="60" x14ac:dyDescent="0.25">
      <c r="A70" s="62">
        <v>68</v>
      </c>
      <c r="B70" s="64" t="s">
        <v>302</v>
      </c>
      <c r="C70" s="65">
        <v>7</v>
      </c>
      <c r="D70" s="62">
        <v>7013</v>
      </c>
      <c r="E70" s="62" t="s">
        <v>386</v>
      </c>
      <c r="F70" s="62" t="s">
        <v>387</v>
      </c>
      <c r="G70" s="62" t="s">
        <v>168</v>
      </c>
      <c r="H70" s="62" t="s">
        <v>388</v>
      </c>
      <c r="I70" s="62" t="s">
        <v>225</v>
      </c>
      <c r="J70" s="64">
        <v>44566</v>
      </c>
      <c r="K70" s="62" t="s">
        <v>201</v>
      </c>
      <c r="L70" s="64" t="s">
        <v>182</v>
      </c>
      <c r="M70" s="62">
        <v>19.100000000000001</v>
      </c>
      <c r="N70" s="62" t="s">
        <v>118</v>
      </c>
      <c r="O70" s="62" t="s">
        <v>389</v>
      </c>
      <c r="P70" s="62" t="s">
        <v>92</v>
      </c>
      <c r="Q70" s="62" t="s">
        <v>92</v>
      </c>
      <c r="R70" s="62" t="s">
        <v>92</v>
      </c>
    </row>
    <row r="71" spans="1:18" ht="135" x14ac:dyDescent="0.25">
      <c r="A71" s="62">
        <v>69</v>
      </c>
      <c r="B71" s="64" t="s">
        <v>302</v>
      </c>
      <c r="C71" s="65">
        <v>7</v>
      </c>
      <c r="D71" s="62">
        <v>7014</v>
      </c>
      <c r="E71" s="62" t="s">
        <v>165</v>
      </c>
      <c r="F71" s="62" t="s">
        <v>390</v>
      </c>
      <c r="G71" s="62" t="s">
        <v>93</v>
      </c>
      <c r="H71" s="62" t="s">
        <v>391</v>
      </c>
      <c r="I71" s="62" t="s">
        <v>225</v>
      </c>
      <c r="J71" s="64">
        <v>44572</v>
      </c>
      <c r="K71" s="62" t="s">
        <v>392</v>
      </c>
      <c r="L71" s="62" t="s">
        <v>379</v>
      </c>
      <c r="M71" s="62">
        <v>26.2</v>
      </c>
      <c r="N71" s="62" t="s">
        <v>118</v>
      </c>
      <c r="O71" s="62" t="s">
        <v>92</v>
      </c>
      <c r="P71" s="62" t="s">
        <v>92</v>
      </c>
      <c r="Q71" s="62" t="s">
        <v>92</v>
      </c>
      <c r="R71" s="62" t="s">
        <v>92</v>
      </c>
    </row>
    <row r="72" spans="1:18" ht="150" x14ac:dyDescent="0.25">
      <c r="A72" s="62">
        <v>70</v>
      </c>
      <c r="B72" s="64" t="s">
        <v>369</v>
      </c>
      <c r="C72" s="65">
        <v>7</v>
      </c>
      <c r="D72" s="62">
        <v>7013</v>
      </c>
      <c r="E72" s="62" t="s">
        <v>68</v>
      </c>
      <c r="F72" s="62" t="s">
        <v>513</v>
      </c>
      <c r="G72" s="62" t="s">
        <v>160</v>
      </c>
      <c r="H72" s="62" t="s">
        <v>514</v>
      </c>
      <c r="I72" s="64">
        <v>44596</v>
      </c>
      <c r="K72" s="62" t="s">
        <v>92</v>
      </c>
      <c r="L72" s="62" t="s">
        <v>92</v>
      </c>
      <c r="M72" s="62">
        <v>27.8</v>
      </c>
      <c r="N72" s="62" t="s">
        <v>118</v>
      </c>
      <c r="O72" s="62" t="s">
        <v>92</v>
      </c>
      <c r="P72" s="62" t="s">
        <v>92</v>
      </c>
      <c r="Q72" s="62" t="s">
        <v>92</v>
      </c>
      <c r="R72" s="62" t="s">
        <v>92</v>
      </c>
    </row>
    <row r="73" spans="1:18" ht="90" x14ac:dyDescent="0.25">
      <c r="A73" s="62">
        <v>71</v>
      </c>
      <c r="B73" s="62" t="s">
        <v>225</v>
      </c>
      <c r="C73" s="65">
        <v>7</v>
      </c>
      <c r="D73" s="62">
        <v>7014</v>
      </c>
      <c r="E73" s="62" t="s">
        <v>75</v>
      </c>
      <c r="F73" s="62" t="s">
        <v>395</v>
      </c>
      <c r="G73" s="62" t="s">
        <v>93</v>
      </c>
      <c r="H73" s="62" t="s">
        <v>92</v>
      </c>
      <c r="I73" s="62" t="s">
        <v>225</v>
      </c>
      <c r="J73" s="64">
        <v>44566</v>
      </c>
      <c r="K73" s="62" t="s">
        <v>396</v>
      </c>
      <c r="L73" s="62" t="s">
        <v>172</v>
      </c>
      <c r="M73" s="62">
        <v>33.1</v>
      </c>
      <c r="N73" s="62" t="s">
        <v>118</v>
      </c>
      <c r="O73" s="62" t="s">
        <v>92</v>
      </c>
      <c r="P73" s="67" t="s">
        <v>92</v>
      </c>
      <c r="Q73" s="67" t="s">
        <v>92</v>
      </c>
      <c r="R73" s="67" t="s">
        <v>92</v>
      </c>
    </row>
    <row r="74" spans="1:18" ht="135" x14ac:dyDescent="0.25">
      <c r="A74" s="62">
        <v>72</v>
      </c>
      <c r="B74" s="64" t="s">
        <v>225</v>
      </c>
      <c r="C74" s="65">
        <v>7</v>
      </c>
      <c r="D74" s="62" t="s">
        <v>101</v>
      </c>
      <c r="E74" s="62" t="s">
        <v>397</v>
      </c>
      <c r="F74" s="62" t="s">
        <v>398</v>
      </c>
      <c r="G74" s="62" t="s">
        <v>211</v>
      </c>
      <c r="H74" s="62" t="s">
        <v>399</v>
      </c>
      <c r="I74" s="62" t="s">
        <v>179</v>
      </c>
      <c r="K74" s="62" t="s">
        <v>92</v>
      </c>
      <c r="L74" s="62" t="s">
        <v>92</v>
      </c>
      <c r="M74" s="62">
        <v>29.1</v>
      </c>
      <c r="N74" s="62" t="s">
        <v>118</v>
      </c>
      <c r="O74" s="62" t="s">
        <v>92</v>
      </c>
      <c r="P74" s="62" t="s">
        <v>92</v>
      </c>
      <c r="Q74" s="62" t="s">
        <v>92</v>
      </c>
      <c r="R74" s="62" t="s">
        <v>434</v>
      </c>
    </row>
    <row r="75" spans="1:18" ht="120" x14ac:dyDescent="0.25">
      <c r="A75" s="62">
        <v>73</v>
      </c>
      <c r="B75" s="64" t="s">
        <v>225</v>
      </c>
      <c r="C75" s="65">
        <v>7</v>
      </c>
      <c r="D75" s="62">
        <v>7013</v>
      </c>
      <c r="E75" s="62" t="s">
        <v>397</v>
      </c>
      <c r="F75" s="62" t="s">
        <v>400</v>
      </c>
      <c r="G75" s="62" t="s">
        <v>211</v>
      </c>
      <c r="H75" s="62" t="s">
        <v>381</v>
      </c>
      <c r="I75" s="62" t="s">
        <v>401</v>
      </c>
      <c r="J75" s="64">
        <v>44579</v>
      </c>
      <c r="K75" s="62" t="s">
        <v>402</v>
      </c>
      <c r="L75" s="62" t="s">
        <v>182</v>
      </c>
      <c r="M75" s="62">
        <v>29.15</v>
      </c>
      <c r="N75" s="62" t="s">
        <v>118</v>
      </c>
      <c r="O75" s="62" t="s">
        <v>92</v>
      </c>
      <c r="P75" s="62" t="s">
        <v>92</v>
      </c>
      <c r="Q75" s="62" t="s">
        <v>92</v>
      </c>
      <c r="R75" s="62" t="s">
        <v>92</v>
      </c>
    </row>
    <row r="76" spans="1:18" ht="75" x14ac:dyDescent="0.25">
      <c r="A76" s="62">
        <v>74</v>
      </c>
      <c r="B76" s="64" t="s">
        <v>225</v>
      </c>
      <c r="C76" s="65">
        <v>7</v>
      </c>
      <c r="D76" s="62">
        <v>7013</v>
      </c>
      <c r="E76" s="62" t="s">
        <v>397</v>
      </c>
      <c r="F76" s="62" t="s">
        <v>403</v>
      </c>
      <c r="G76" s="62" t="s">
        <v>211</v>
      </c>
      <c r="H76" s="62" t="s">
        <v>381</v>
      </c>
      <c r="I76" s="62" t="s">
        <v>404</v>
      </c>
      <c r="J76" s="64">
        <v>44567</v>
      </c>
      <c r="K76" s="62" t="s">
        <v>405</v>
      </c>
      <c r="L76" s="62" t="s">
        <v>202</v>
      </c>
      <c r="M76" s="62">
        <v>29.15</v>
      </c>
      <c r="N76" s="62" t="s">
        <v>118</v>
      </c>
      <c r="O76" s="62" t="s">
        <v>92</v>
      </c>
      <c r="P76" s="62" t="s">
        <v>92</v>
      </c>
      <c r="Q76" s="62" t="s">
        <v>92</v>
      </c>
      <c r="R76" s="62" t="s">
        <v>92</v>
      </c>
    </row>
    <row r="77" spans="1:18" ht="135" x14ac:dyDescent="0.25">
      <c r="A77" s="62">
        <v>75</v>
      </c>
      <c r="B77" s="64" t="s">
        <v>225</v>
      </c>
      <c r="C77" s="65">
        <v>7</v>
      </c>
      <c r="D77" s="62" t="s">
        <v>101</v>
      </c>
      <c r="E77" s="62" t="s">
        <v>92</v>
      </c>
      <c r="F77" s="62" t="s">
        <v>406</v>
      </c>
      <c r="G77" s="62" t="s">
        <v>170</v>
      </c>
      <c r="H77" s="62" t="s">
        <v>407</v>
      </c>
      <c r="I77" s="62" t="s">
        <v>401</v>
      </c>
      <c r="J77" s="64">
        <v>44580</v>
      </c>
      <c r="K77" s="62" t="s">
        <v>408</v>
      </c>
      <c r="L77" s="62" t="s">
        <v>182</v>
      </c>
      <c r="M77" s="62">
        <v>29.15</v>
      </c>
      <c r="N77" s="62" t="s">
        <v>118</v>
      </c>
      <c r="O77" s="62" t="s">
        <v>92</v>
      </c>
      <c r="P77" s="62" t="s">
        <v>92</v>
      </c>
      <c r="Q77" s="62" t="s">
        <v>92</v>
      </c>
      <c r="R77" s="62" t="s">
        <v>92</v>
      </c>
    </row>
    <row r="78" spans="1:18" ht="45" x14ac:dyDescent="0.25">
      <c r="A78" s="62">
        <v>76</v>
      </c>
      <c r="B78" s="64" t="s">
        <v>404</v>
      </c>
      <c r="C78" s="65">
        <v>7</v>
      </c>
      <c r="D78" s="62">
        <v>7014</v>
      </c>
      <c r="F78" s="62" t="s">
        <v>409</v>
      </c>
      <c r="G78" s="62" t="s">
        <v>170</v>
      </c>
      <c r="H78" s="62" t="s">
        <v>407</v>
      </c>
      <c r="I78" s="62" t="s">
        <v>404</v>
      </c>
      <c r="J78" s="64">
        <v>44567</v>
      </c>
      <c r="K78" s="62" t="s">
        <v>410</v>
      </c>
      <c r="L78" s="64" t="s">
        <v>202</v>
      </c>
      <c r="M78" s="62">
        <v>29.15</v>
      </c>
      <c r="N78" s="62" t="s">
        <v>118</v>
      </c>
      <c r="O78" s="62" t="s">
        <v>92</v>
      </c>
      <c r="P78" s="62" t="s">
        <v>92</v>
      </c>
      <c r="Q78" s="62" t="s">
        <v>92</v>
      </c>
      <c r="R78" s="62" t="s">
        <v>92</v>
      </c>
    </row>
    <row r="79" spans="1:18" ht="90" x14ac:dyDescent="0.25">
      <c r="A79" s="62">
        <v>77</v>
      </c>
      <c r="B79" s="64" t="s">
        <v>404</v>
      </c>
      <c r="C79" s="65">
        <v>7</v>
      </c>
      <c r="D79" s="62">
        <v>7014</v>
      </c>
      <c r="E79" s="62" t="s">
        <v>397</v>
      </c>
      <c r="F79" s="62" t="s">
        <v>411</v>
      </c>
      <c r="G79" s="62" t="s">
        <v>211</v>
      </c>
      <c r="H79" s="62" t="s">
        <v>412</v>
      </c>
      <c r="I79" s="62" t="s">
        <v>413</v>
      </c>
      <c r="J79" s="64">
        <v>44572</v>
      </c>
      <c r="K79" s="62" t="s">
        <v>414</v>
      </c>
      <c r="L79" s="64" t="s">
        <v>202</v>
      </c>
      <c r="M79" s="62">
        <v>29.15</v>
      </c>
      <c r="N79" s="62" t="s">
        <v>118</v>
      </c>
      <c r="O79" s="62" t="s">
        <v>92</v>
      </c>
      <c r="P79" s="62" t="s">
        <v>92</v>
      </c>
      <c r="Q79" s="62" t="s">
        <v>92</v>
      </c>
      <c r="R79" s="62" t="s">
        <v>92</v>
      </c>
    </row>
    <row r="80" spans="1:18" ht="45" x14ac:dyDescent="0.25">
      <c r="A80" s="62">
        <v>78</v>
      </c>
      <c r="B80" s="64" t="s">
        <v>404</v>
      </c>
      <c r="C80" s="65">
        <v>7</v>
      </c>
      <c r="D80" s="62">
        <v>7013</v>
      </c>
      <c r="E80" s="62" t="s">
        <v>397</v>
      </c>
      <c r="F80" s="62" t="s">
        <v>415</v>
      </c>
      <c r="G80" s="62" t="s">
        <v>211</v>
      </c>
      <c r="H80" s="62" t="s">
        <v>412</v>
      </c>
      <c r="I80" s="62" t="s">
        <v>401</v>
      </c>
      <c r="J80" s="64">
        <v>44579</v>
      </c>
      <c r="K80" s="62" t="s">
        <v>416</v>
      </c>
      <c r="L80" s="62" t="s">
        <v>172</v>
      </c>
      <c r="M80" s="62">
        <v>29.12</v>
      </c>
      <c r="N80" s="62" t="s">
        <v>118</v>
      </c>
      <c r="O80" s="62" t="s">
        <v>92</v>
      </c>
      <c r="P80" s="62" t="s">
        <v>92</v>
      </c>
      <c r="Q80" s="62" t="s">
        <v>92</v>
      </c>
      <c r="R80" s="62" t="s">
        <v>92</v>
      </c>
    </row>
    <row r="81" spans="1:18" ht="45" x14ac:dyDescent="0.25">
      <c r="A81" s="62">
        <v>79</v>
      </c>
      <c r="B81" s="64" t="s">
        <v>404</v>
      </c>
      <c r="C81" s="65">
        <v>7</v>
      </c>
      <c r="D81" s="62" t="s">
        <v>101</v>
      </c>
      <c r="E81" s="62" t="s">
        <v>397</v>
      </c>
      <c r="F81" s="62" t="s">
        <v>417</v>
      </c>
      <c r="G81" s="62" t="s">
        <v>211</v>
      </c>
      <c r="H81" s="62" t="s">
        <v>412</v>
      </c>
      <c r="I81" s="62" t="s">
        <v>401</v>
      </c>
      <c r="J81" s="64">
        <v>44580</v>
      </c>
      <c r="K81" s="62" t="s">
        <v>418</v>
      </c>
      <c r="L81" s="62" t="s">
        <v>182</v>
      </c>
      <c r="M81" s="62">
        <v>29.16</v>
      </c>
      <c r="N81" s="62" t="s">
        <v>118</v>
      </c>
      <c r="O81" s="62" t="s">
        <v>92</v>
      </c>
      <c r="P81" s="62" t="s">
        <v>92</v>
      </c>
      <c r="Q81" s="62" t="s">
        <v>92</v>
      </c>
      <c r="R81" s="62" t="s">
        <v>92</v>
      </c>
    </row>
    <row r="82" spans="1:18" x14ac:dyDescent="0.25">
      <c r="A82" s="62">
        <v>80</v>
      </c>
      <c r="B82" s="64">
        <v>44567</v>
      </c>
      <c r="C82" s="65">
        <v>7</v>
      </c>
      <c r="D82" s="62" t="s">
        <v>101</v>
      </c>
      <c r="E82" s="62" t="s">
        <v>92</v>
      </c>
      <c r="F82" s="62" t="s">
        <v>419</v>
      </c>
      <c r="G82" s="62" t="s">
        <v>170</v>
      </c>
      <c r="H82" s="62" t="s">
        <v>420</v>
      </c>
      <c r="I82" s="62" t="s">
        <v>394</v>
      </c>
      <c r="K82" s="62" t="s">
        <v>92</v>
      </c>
      <c r="L82" s="62" t="s">
        <v>92</v>
      </c>
      <c r="M82" s="62">
        <v>29.18</v>
      </c>
      <c r="N82" s="62" t="s">
        <v>118</v>
      </c>
      <c r="O82" s="62" t="s">
        <v>92</v>
      </c>
      <c r="P82" s="62" t="s">
        <v>92</v>
      </c>
      <c r="Q82" s="62" t="s">
        <v>92</v>
      </c>
      <c r="R82" s="62" t="s">
        <v>92</v>
      </c>
    </row>
    <row r="83" spans="1:18" ht="30" x14ac:dyDescent="0.25">
      <c r="A83" s="62">
        <v>81</v>
      </c>
      <c r="B83" s="64">
        <v>44567</v>
      </c>
      <c r="C83" s="65">
        <v>7</v>
      </c>
      <c r="D83" s="62">
        <v>7013</v>
      </c>
      <c r="E83" s="62" t="s">
        <v>397</v>
      </c>
      <c r="F83" s="62" t="s">
        <v>421</v>
      </c>
      <c r="G83" s="62" t="s">
        <v>211</v>
      </c>
      <c r="H83" s="62" t="s">
        <v>422</v>
      </c>
      <c r="I83" s="62" t="s">
        <v>401</v>
      </c>
      <c r="J83" s="64">
        <v>44580</v>
      </c>
      <c r="K83" s="62" t="s">
        <v>423</v>
      </c>
      <c r="L83" s="62" t="s">
        <v>172</v>
      </c>
      <c r="M83" s="62">
        <v>29.18</v>
      </c>
      <c r="N83" s="62" t="s">
        <v>118</v>
      </c>
      <c r="O83" s="62" t="s">
        <v>92</v>
      </c>
      <c r="P83" s="62" t="s">
        <v>92</v>
      </c>
      <c r="Q83" s="62" t="s">
        <v>92</v>
      </c>
      <c r="R83" s="62" t="s">
        <v>92</v>
      </c>
    </row>
    <row r="84" spans="1:18" ht="135" x14ac:dyDescent="0.25">
      <c r="A84" s="62">
        <v>82</v>
      </c>
      <c r="B84" s="62" t="s">
        <v>369</v>
      </c>
      <c r="C84" s="65">
        <v>7</v>
      </c>
      <c r="D84" s="62">
        <v>7014</v>
      </c>
      <c r="E84" s="62" t="s">
        <v>92</v>
      </c>
      <c r="F84" s="62" t="s">
        <v>424</v>
      </c>
      <c r="G84" s="62" t="s">
        <v>170</v>
      </c>
      <c r="H84" s="62" t="s">
        <v>197</v>
      </c>
      <c r="I84" s="62" t="s">
        <v>425</v>
      </c>
      <c r="J84" s="64">
        <v>44571</v>
      </c>
      <c r="K84" s="62" t="s">
        <v>426</v>
      </c>
      <c r="L84" s="62" t="s">
        <v>182</v>
      </c>
      <c r="M84" s="62">
        <v>31.2</v>
      </c>
      <c r="N84" s="62" t="s">
        <v>118</v>
      </c>
      <c r="O84" s="62" t="s">
        <v>92</v>
      </c>
      <c r="P84" s="62" t="s">
        <v>92</v>
      </c>
      <c r="Q84" s="62" t="s">
        <v>92</v>
      </c>
      <c r="R84" s="62" t="s">
        <v>92</v>
      </c>
    </row>
    <row r="85" spans="1:18" ht="75" x14ac:dyDescent="0.25">
      <c r="A85" s="62">
        <v>83</v>
      </c>
      <c r="B85" s="62" t="s">
        <v>427</v>
      </c>
      <c r="C85" s="65">
        <v>7</v>
      </c>
      <c r="D85" s="62">
        <v>7013</v>
      </c>
      <c r="E85" s="62" t="s">
        <v>92</v>
      </c>
      <c r="F85" s="62" t="s">
        <v>428</v>
      </c>
      <c r="G85" s="62" t="s">
        <v>170</v>
      </c>
      <c r="H85" s="62" t="s">
        <v>420</v>
      </c>
      <c r="I85" s="62" t="s">
        <v>429</v>
      </c>
      <c r="J85" s="64">
        <v>44568</v>
      </c>
      <c r="K85" s="62" t="s">
        <v>407</v>
      </c>
      <c r="L85" s="62" t="s">
        <v>202</v>
      </c>
      <c r="M85" s="62">
        <v>19.100000000000001</v>
      </c>
      <c r="N85" s="62" t="s">
        <v>118</v>
      </c>
      <c r="O85" s="62" t="s">
        <v>92</v>
      </c>
      <c r="P85" s="62" t="s">
        <v>92</v>
      </c>
      <c r="Q85" s="62" t="s">
        <v>92</v>
      </c>
      <c r="R85" s="62" t="s">
        <v>92</v>
      </c>
    </row>
    <row r="86" spans="1:18" ht="75" x14ac:dyDescent="0.25">
      <c r="A86" s="62">
        <v>84</v>
      </c>
      <c r="B86" s="62" t="s">
        <v>427</v>
      </c>
      <c r="C86" s="65">
        <v>7</v>
      </c>
      <c r="D86" s="62">
        <v>7013</v>
      </c>
      <c r="E86" s="62" t="s">
        <v>78</v>
      </c>
      <c r="F86" s="62" t="s">
        <v>430</v>
      </c>
      <c r="G86" s="62" t="s">
        <v>93</v>
      </c>
      <c r="H86" s="62" t="s">
        <v>431</v>
      </c>
      <c r="I86" s="62" t="s">
        <v>427</v>
      </c>
      <c r="J86" s="64">
        <v>44568</v>
      </c>
      <c r="K86" s="62" t="s">
        <v>431</v>
      </c>
      <c r="L86" s="62" t="s">
        <v>202</v>
      </c>
      <c r="M86" s="62">
        <v>28.7</v>
      </c>
      <c r="N86" s="62" t="s">
        <v>118</v>
      </c>
      <c r="O86" s="62" t="s">
        <v>92</v>
      </c>
      <c r="P86" s="62" t="s">
        <v>92</v>
      </c>
      <c r="Q86" s="62" t="s">
        <v>92</v>
      </c>
      <c r="R86" s="62" t="s">
        <v>92</v>
      </c>
    </row>
    <row r="87" spans="1:18" ht="120" x14ac:dyDescent="0.25">
      <c r="A87" s="62">
        <v>85</v>
      </c>
      <c r="B87" s="62" t="s">
        <v>427</v>
      </c>
      <c r="C87" s="65">
        <v>7</v>
      </c>
      <c r="D87" s="62" t="s">
        <v>101</v>
      </c>
      <c r="E87" s="62" t="s">
        <v>78</v>
      </c>
      <c r="F87" s="62" t="s">
        <v>432</v>
      </c>
      <c r="G87" s="62" t="s">
        <v>160</v>
      </c>
      <c r="H87" s="62" t="s">
        <v>323</v>
      </c>
      <c r="I87" s="62" t="s">
        <v>179</v>
      </c>
      <c r="K87" s="62" t="s">
        <v>92</v>
      </c>
      <c r="L87" s="62" t="s">
        <v>92</v>
      </c>
      <c r="M87" s="62">
        <v>28.7</v>
      </c>
      <c r="N87" s="62" t="s">
        <v>118</v>
      </c>
      <c r="O87" s="62" t="s">
        <v>92</v>
      </c>
      <c r="P87" s="62" t="s">
        <v>92</v>
      </c>
      <c r="Q87" s="62" t="s">
        <v>92</v>
      </c>
      <c r="R87" s="62" t="s">
        <v>434</v>
      </c>
    </row>
    <row r="88" spans="1:18" ht="120" x14ac:dyDescent="0.25">
      <c r="A88" s="62">
        <v>86</v>
      </c>
      <c r="B88" s="62" t="s">
        <v>427</v>
      </c>
      <c r="C88" s="65">
        <v>7</v>
      </c>
      <c r="D88" s="62" t="s">
        <v>101</v>
      </c>
      <c r="E88" s="62" t="s">
        <v>78</v>
      </c>
      <c r="F88" s="62" t="s">
        <v>433</v>
      </c>
      <c r="G88" s="62" t="s">
        <v>160</v>
      </c>
      <c r="H88" s="62" t="s">
        <v>323</v>
      </c>
      <c r="I88" s="62" t="s">
        <v>179</v>
      </c>
      <c r="K88" s="62" t="s">
        <v>92</v>
      </c>
      <c r="L88" s="62" t="s">
        <v>92</v>
      </c>
      <c r="M88" s="62">
        <v>28.7</v>
      </c>
      <c r="N88" s="62" t="s">
        <v>118</v>
      </c>
      <c r="O88" s="62" t="s">
        <v>92</v>
      </c>
      <c r="P88" s="62" t="s">
        <v>92</v>
      </c>
      <c r="Q88" s="62" t="s">
        <v>92</v>
      </c>
      <c r="R88" s="62" t="s">
        <v>435</v>
      </c>
    </row>
    <row r="89" spans="1:18" ht="105" x14ac:dyDescent="0.25">
      <c r="A89" s="62">
        <v>87</v>
      </c>
      <c r="B89" s="62" t="s">
        <v>427</v>
      </c>
      <c r="C89" s="65">
        <v>7</v>
      </c>
      <c r="D89" s="62" t="s">
        <v>101</v>
      </c>
      <c r="E89" s="62" t="s">
        <v>78</v>
      </c>
      <c r="F89" s="62" t="s">
        <v>436</v>
      </c>
      <c r="G89" s="62" t="s">
        <v>160</v>
      </c>
      <c r="H89" s="62" t="s">
        <v>323</v>
      </c>
      <c r="I89" s="62" t="s">
        <v>179</v>
      </c>
      <c r="L89" s="62" t="s">
        <v>92</v>
      </c>
      <c r="M89" s="62">
        <v>28.7</v>
      </c>
      <c r="N89" s="62" t="s">
        <v>118</v>
      </c>
      <c r="O89" s="62" t="s">
        <v>92</v>
      </c>
      <c r="P89" s="62" t="s">
        <v>92</v>
      </c>
      <c r="Q89" s="62" t="s">
        <v>92</v>
      </c>
      <c r="R89" s="62" t="s">
        <v>434</v>
      </c>
    </row>
    <row r="90" spans="1:18" ht="135" x14ac:dyDescent="0.25">
      <c r="A90" s="62">
        <v>88</v>
      </c>
      <c r="B90" s="62" t="s">
        <v>427</v>
      </c>
      <c r="C90" s="65">
        <v>7</v>
      </c>
      <c r="D90" s="62">
        <v>7013</v>
      </c>
      <c r="E90" s="62" t="s">
        <v>78</v>
      </c>
      <c r="F90" s="62" t="s">
        <v>437</v>
      </c>
      <c r="G90" s="62" t="s">
        <v>93</v>
      </c>
      <c r="H90" s="62" t="s">
        <v>438</v>
      </c>
      <c r="I90" s="62" t="s">
        <v>439</v>
      </c>
      <c r="J90" s="64">
        <v>44574</v>
      </c>
      <c r="K90" s="62" t="s">
        <v>440</v>
      </c>
      <c r="L90" s="62" t="s">
        <v>202</v>
      </c>
      <c r="M90" s="62">
        <v>28.9</v>
      </c>
      <c r="N90" s="62" t="s">
        <v>118</v>
      </c>
      <c r="O90" s="62" t="s">
        <v>92</v>
      </c>
      <c r="P90" s="62" t="s">
        <v>92</v>
      </c>
      <c r="Q90" s="62" t="s">
        <v>92</v>
      </c>
      <c r="R90" s="62" t="s">
        <v>92</v>
      </c>
    </row>
    <row r="91" spans="1:18" ht="60" x14ac:dyDescent="0.25">
      <c r="A91" s="62">
        <v>89</v>
      </c>
      <c r="B91" s="62" t="s">
        <v>427</v>
      </c>
      <c r="C91" s="65">
        <v>7</v>
      </c>
      <c r="D91" s="62">
        <v>7013</v>
      </c>
      <c r="E91" s="62" t="s">
        <v>78</v>
      </c>
      <c r="F91" s="62" t="s">
        <v>441</v>
      </c>
      <c r="G91" s="62" t="s">
        <v>170</v>
      </c>
      <c r="H91" s="62" t="s">
        <v>237</v>
      </c>
      <c r="I91" s="62" t="s">
        <v>427</v>
      </c>
      <c r="J91" s="64">
        <v>44568</v>
      </c>
      <c r="K91" s="62" t="s">
        <v>344</v>
      </c>
      <c r="L91" s="62" t="s">
        <v>202</v>
      </c>
      <c r="M91" s="62">
        <v>28.7</v>
      </c>
      <c r="N91" s="62" t="s">
        <v>118</v>
      </c>
      <c r="O91" s="62" t="s">
        <v>92</v>
      </c>
      <c r="P91" s="62" t="s">
        <v>92</v>
      </c>
      <c r="Q91" s="62" t="s">
        <v>92</v>
      </c>
      <c r="R91" s="62" t="s">
        <v>92</v>
      </c>
    </row>
    <row r="92" spans="1:18" ht="75" x14ac:dyDescent="0.25">
      <c r="A92" s="62">
        <v>90</v>
      </c>
      <c r="B92" s="62" t="s">
        <v>327</v>
      </c>
      <c r="C92" s="65">
        <v>7</v>
      </c>
      <c r="D92" s="62" t="s">
        <v>101</v>
      </c>
      <c r="E92" s="62" t="s">
        <v>78</v>
      </c>
      <c r="F92" s="62" t="s">
        <v>442</v>
      </c>
      <c r="G92" s="62" t="s">
        <v>93</v>
      </c>
      <c r="H92" s="62" t="s">
        <v>431</v>
      </c>
      <c r="I92" s="62" t="s">
        <v>327</v>
      </c>
      <c r="J92" s="64">
        <v>44571</v>
      </c>
      <c r="K92" s="62" t="s">
        <v>431</v>
      </c>
      <c r="L92" s="62" t="s">
        <v>202</v>
      </c>
      <c r="M92" s="62">
        <v>27.3</v>
      </c>
      <c r="N92" s="62" t="s">
        <v>118</v>
      </c>
      <c r="O92" s="62" t="s">
        <v>92</v>
      </c>
      <c r="P92" s="62" t="s">
        <v>92</v>
      </c>
      <c r="Q92" s="62" t="s">
        <v>92</v>
      </c>
      <c r="R92" s="62" t="s">
        <v>92</v>
      </c>
    </row>
    <row r="93" spans="1:18" ht="30" x14ac:dyDescent="0.25">
      <c r="A93" s="62">
        <v>91</v>
      </c>
      <c r="B93" s="62" t="s">
        <v>327</v>
      </c>
      <c r="C93" s="65">
        <v>7</v>
      </c>
      <c r="D93" s="62" t="s">
        <v>101</v>
      </c>
      <c r="E93" s="62" t="s">
        <v>78</v>
      </c>
      <c r="F93" s="62" t="s">
        <v>443</v>
      </c>
      <c r="G93" s="62" t="s">
        <v>93</v>
      </c>
      <c r="H93" s="62" t="s">
        <v>431</v>
      </c>
      <c r="I93" s="62" t="s">
        <v>327</v>
      </c>
      <c r="J93" s="64">
        <v>44571</v>
      </c>
      <c r="K93" s="62" t="s">
        <v>431</v>
      </c>
      <c r="L93" s="62" t="s">
        <v>202</v>
      </c>
      <c r="M93" s="62">
        <v>27.3</v>
      </c>
      <c r="N93" s="62" t="s">
        <v>118</v>
      </c>
      <c r="O93" s="62" t="s">
        <v>92</v>
      </c>
      <c r="P93" s="62" t="s">
        <v>92</v>
      </c>
      <c r="Q93" s="62" t="s">
        <v>92</v>
      </c>
      <c r="R93" s="62" t="s">
        <v>92</v>
      </c>
    </row>
    <row r="94" spans="1:18" ht="90" x14ac:dyDescent="0.25">
      <c r="A94" s="62">
        <v>92</v>
      </c>
      <c r="B94" s="62" t="s">
        <v>327</v>
      </c>
      <c r="C94" s="65">
        <v>7</v>
      </c>
      <c r="D94" s="62" t="s">
        <v>101</v>
      </c>
      <c r="E94" s="62" t="s">
        <v>78</v>
      </c>
      <c r="F94" s="62" t="s">
        <v>444</v>
      </c>
      <c r="G94" s="62" t="s">
        <v>160</v>
      </c>
      <c r="H94" s="62" t="s">
        <v>92</v>
      </c>
      <c r="I94" s="62" t="s">
        <v>179</v>
      </c>
      <c r="L94" s="62" t="s">
        <v>92</v>
      </c>
      <c r="M94" s="62">
        <v>27.3</v>
      </c>
      <c r="N94" s="62" t="s">
        <v>118</v>
      </c>
      <c r="O94" s="62" t="s">
        <v>92</v>
      </c>
      <c r="P94" s="62" t="s">
        <v>92</v>
      </c>
      <c r="Q94" s="62" t="s">
        <v>92</v>
      </c>
      <c r="R94" s="62" t="s">
        <v>434</v>
      </c>
    </row>
    <row r="95" spans="1:18" ht="90" x14ac:dyDescent="0.25">
      <c r="A95" s="62">
        <v>93</v>
      </c>
      <c r="B95" s="62" t="s">
        <v>327</v>
      </c>
      <c r="C95" s="65">
        <v>7</v>
      </c>
      <c r="D95" s="62" t="s">
        <v>101</v>
      </c>
      <c r="E95" s="62" t="s">
        <v>78</v>
      </c>
      <c r="F95" s="62" t="s">
        <v>445</v>
      </c>
      <c r="G95" s="62" t="s">
        <v>160</v>
      </c>
      <c r="H95" s="62" t="s">
        <v>323</v>
      </c>
      <c r="I95" s="62" t="s">
        <v>179</v>
      </c>
      <c r="K95" s="62" t="s">
        <v>92</v>
      </c>
      <c r="L95" s="62" t="s">
        <v>92</v>
      </c>
      <c r="M95" s="62">
        <v>28.1</v>
      </c>
      <c r="N95" s="62" t="s">
        <v>118</v>
      </c>
      <c r="O95" s="62" t="s">
        <v>92</v>
      </c>
      <c r="P95" s="62" t="s">
        <v>92</v>
      </c>
      <c r="Q95" s="62" t="s">
        <v>92</v>
      </c>
      <c r="R95" s="62" t="s">
        <v>434</v>
      </c>
    </row>
    <row r="96" spans="1:18" ht="105" x14ac:dyDescent="0.25">
      <c r="A96" s="62">
        <v>94</v>
      </c>
      <c r="B96" s="62" t="s">
        <v>327</v>
      </c>
      <c r="C96" s="65">
        <v>7</v>
      </c>
      <c r="D96" s="62" t="s">
        <v>101</v>
      </c>
      <c r="E96" s="62" t="s">
        <v>78</v>
      </c>
      <c r="F96" s="62" t="s">
        <v>446</v>
      </c>
      <c r="G96" s="62" t="s">
        <v>160</v>
      </c>
      <c r="H96" s="62" t="s">
        <v>323</v>
      </c>
      <c r="I96" s="62" t="s">
        <v>179</v>
      </c>
      <c r="L96" s="62" t="s">
        <v>92</v>
      </c>
      <c r="M96" s="62">
        <v>28.9</v>
      </c>
      <c r="N96" s="62" t="s">
        <v>118</v>
      </c>
      <c r="O96" s="62" t="s">
        <v>92</v>
      </c>
      <c r="P96" s="62" t="s">
        <v>92</v>
      </c>
      <c r="Q96" s="62" t="s">
        <v>92</v>
      </c>
      <c r="R96" s="62" t="s">
        <v>434</v>
      </c>
    </row>
    <row r="97" spans="1:18" ht="75" x14ac:dyDescent="0.25">
      <c r="A97" s="62">
        <v>95</v>
      </c>
      <c r="B97" s="62" t="s">
        <v>327</v>
      </c>
      <c r="C97" s="65">
        <v>7</v>
      </c>
      <c r="D97" s="62" t="s">
        <v>101</v>
      </c>
      <c r="E97" s="62" t="s">
        <v>78</v>
      </c>
      <c r="F97" s="62" t="s">
        <v>447</v>
      </c>
      <c r="G97" s="62" t="s">
        <v>160</v>
      </c>
      <c r="H97" s="62" t="s">
        <v>323</v>
      </c>
      <c r="I97" s="62" t="s">
        <v>179</v>
      </c>
      <c r="K97" s="62" t="s">
        <v>92</v>
      </c>
      <c r="L97" s="62" t="s">
        <v>92</v>
      </c>
      <c r="M97" s="62">
        <v>27.4</v>
      </c>
      <c r="N97" s="62" t="s">
        <v>118</v>
      </c>
      <c r="O97" s="62" t="s">
        <v>92</v>
      </c>
      <c r="P97" s="62" t="s">
        <v>92</v>
      </c>
      <c r="Q97" s="62" t="s">
        <v>92</v>
      </c>
      <c r="R97" s="62" t="s">
        <v>92</v>
      </c>
    </row>
    <row r="98" spans="1:18" ht="45" x14ac:dyDescent="0.25">
      <c r="A98" s="62">
        <v>96</v>
      </c>
      <c r="B98" s="62" t="s">
        <v>327</v>
      </c>
      <c r="C98" s="65">
        <v>7</v>
      </c>
      <c r="D98" s="62" t="s">
        <v>101</v>
      </c>
      <c r="E98" s="62" t="s">
        <v>70</v>
      </c>
      <c r="F98" s="62" t="s">
        <v>448</v>
      </c>
      <c r="G98" s="62" t="s">
        <v>211</v>
      </c>
      <c r="H98" s="62" t="s">
        <v>314</v>
      </c>
      <c r="I98" s="62" t="s">
        <v>315</v>
      </c>
      <c r="K98" s="62" t="s">
        <v>92</v>
      </c>
      <c r="L98" s="62" t="s">
        <v>92</v>
      </c>
      <c r="M98" s="62">
        <v>27.4</v>
      </c>
      <c r="N98" s="62" t="s">
        <v>118</v>
      </c>
      <c r="O98" s="62" t="s">
        <v>92</v>
      </c>
      <c r="P98" s="62" t="s">
        <v>92</v>
      </c>
      <c r="Q98" s="62" t="s">
        <v>92</v>
      </c>
      <c r="R98" s="62" t="s">
        <v>92</v>
      </c>
    </row>
    <row r="99" spans="1:18" ht="60" x14ac:dyDescent="0.25">
      <c r="A99" s="62">
        <v>97</v>
      </c>
      <c r="B99" s="62" t="s">
        <v>327</v>
      </c>
      <c r="C99" s="65">
        <v>7</v>
      </c>
      <c r="D99" s="62" t="s">
        <v>101</v>
      </c>
      <c r="E99" s="62" t="s">
        <v>70</v>
      </c>
      <c r="F99" s="62" t="s">
        <v>449</v>
      </c>
      <c r="G99" s="62" t="s">
        <v>211</v>
      </c>
      <c r="H99" s="62" t="s">
        <v>314</v>
      </c>
      <c r="I99" s="62" t="s">
        <v>315</v>
      </c>
      <c r="K99" s="62" t="s">
        <v>92</v>
      </c>
      <c r="L99" s="62" t="s">
        <v>92</v>
      </c>
      <c r="M99" s="62">
        <v>27.7</v>
      </c>
      <c r="N99" s="62" t="s">
        <v>118</v>
      </c>
      <c r="O99" s="62" t="s">
        <v>92</v>
      </c>
      <c r="P99" s="62" t="s">
        <v>92</v>
      </c>
      <c r="Q99" s="62" t="s">
        <v>92</v>
      </c>
      <c r="R99" s="62" t="s">
        <v>92</v>
      </c>
    </row>
    <row r="100" spans="1:18" x14ac:dyDescent="0.25">
      <c r="A100" s="62">
        <v>98</v>
      </c>
      <c r="B100" s="62" t="s">
        <v>327</v>
      </c>
      <c r="C100" s="65">
        <v>7</v>
      </c>
      <c r="D100" s="62">
        <v>7014</v>
      </c>
      <c r="E100" s="62" t="s">
        <v>92</v>
      </c>
      <c r="F100" s="62" t="s">
        <v>450</v>
      </c>
      <c r="G100" s="62" t="s">
        <v>170</v>
      </c>
      <c r="H100" s="62" t="s">
        <v>201</v>
      </c>
      <c r="I100" s="62" t="s">
        <v>327</v>
      </c>
      <c r="J100" s="64">
        <v>44571</v>
      </c>
      <c r="K100" s="62" t="s">
        <v>201</v>
      </c>
      <c r="L100" s="62" t="s">
        <v>172</v>
      </c>
      <c r="M100" s="62">
        <v>27.8</v>
      </c>
      <c r="N100" s="62" t="s">
        <v>118</v>
      </c>
      <c r="O100" s="62" t="s">
        <v>92</v>
      </c>
      <c r="P100" s="62" t="s">
        <v>92</v>
      </c>
      <c r="Q100" s="62" t="s">
        <v>92</v>
      </c>
      <c r="R100" s="62" t="s">
        <v>92</v>
      </c>
    </row>
    <row r="101" spans="1:18" ht="60" x14ac:dyDescent="0.25">
      <c r="A101" s="62">
        <v>99</v>
      </c>
      <c r="B101" s="62" t="s">
        <v>327</v>
      </c>
      <c r="C101" s="65">
        <v>7</v>
      </c>
      <c r="D101" s="62" t="s">
        <v>101</v>
      </c>
      <c r="E101" s="62" t="s">
        <v>194</v>
      </c>
      <c r="F101" s="62" t="s">
        <v>451</v>
      </c>
      <c r="G101" s="62" t="s">
        <v>170</v>
      </c>
      <c r="H101" s="62" t="s">
        <v>201</v>
      </c>
      <c r="I101" s="62" t="s">
        <v>413</v>
      </c>
      <c r="J101" s="64">
        <v>44572</v>
      </c>
      <c r="K101" s="62" t="s">
        <v>201</v>
      </c>
      <c r="L101" s="62" t="s">
        <v>182</v>
      </c>
      <c r="M101" s="62">
        <v>31.5</v>
      </c>
      <c r="N101" s="62" t="s">
        <v>118</v>
      </c>
      <c r="O101" s="62" t="s">
        <v>92</v>
      </c>
      <c r="P101" s="62" t="s">
        <v>92</v>
      </c>
      <c r="Q101" s="62" t="s">
        <v>92</v>
      </c>
      <c r="R101" s="62" t="s">
        <v>92</v>
      </c>
    </row>
    <row r="102" spans="1:18" ht="120" x14ac:dyDescent="0.25">
      <c r="A102" s="62">
        <v>100</v>
      </c>
      <c r="B102" s="62" t="s">
        <v>327</v>
      </c>
      <c r="C102" s="65">
        <v>7</v>
      </c>
      <c r="D102" s="62">
        <v>7013</v>
      </c>
      <c r="E102" s="62" t="s">
        <v>69</v>
      </c>
      <c r="F102" s="62" t="s">
        <v>452</v>
      </c>
      <c r="G102" s="62" t="s">
        <v>211</v>
      </c>
      <c r="H102" s="62" t="s">
        <v>453</v>
      </c>
      <c r="I102" s="62" t="s">
        <v>454</v>
      </c>
      <c r="J102" s="64">
        <v>44575</v>
      </c>
      <c r="K102" s="62" t="s">
        <v>455</v>
      </c>
      <c r="L102" s="62" t="s">
        <v>379</v>
      </c>
      <c r="M102" s="62">
        <v>16.8</v>
      </c>
      <c r="N102" s="62" t="s">
        <v>118</v>
      </c>
      <c r="O102" s="62" t="s">
        <v>92</v>
      </c>
      <c r="P102" s="62" t="s">
        <v>92</v>
      </c>
      <c r="Q102" s="62" t="s">
        <v>92</v>
      </c>
      <c r="R102" s="62" t="s">
        <v>92</v>
      </c>
    </row>
    <row r="103" spans="1:18" ht="45" x14ac:dyDescent="0.25">
      <c r="A103" s="62">
        <v>101</v>
      </c>
      <c r="B103" s="62" t="s">
        <v>425</v>
      </c>
      <c r="C103" s="65">
        <v>7</v>
      </c>
      <c r="D103" s="62">
        <v>7014</v>
      </c>
      <c r="E103" s="62" t="s">
        <v>77</v>
      </c>
      <c r="F103" s="62" t="s">
        <v>544</v>
      </c>
      <c r="G103" s="62" t="s">
        <v>160</v>
      </c>
      <c r="H103" s="62" t="s">
        <v>456</v>
      </c>
      <c r="I103" s="64">
        <v>44581</v>
      </c>
      <c r="L103" s="62" t="s">
        <v>92</v>
      </c>
      <c r="M103" s="62">
        <v>31.4</v>
      </c>
      <c r="N103" s="62" t="s">
        <v>118</v>
      </c>
      <c r="O103" s="62" t="s">
        <v>92</v>
      </c>
      <c r="P103" s="62" t="s">
        <v>92</v>
      </c>
      <c r="Q103" s="62" t="s">
        <v>92</v>
      </c>
      <c r="R103" s="62" t="s">
        <v>434</v>
      </c>
    </row>
    <row r="104" spans="1:18" ht="90" x14ac:dyDescent="0.25">
      <c r="A104" s="62">
        <v>102</v>
      </c>
      <c r="B104" s="62" t="s">
        <v>425</v>
      </c>
      <c r="C104" s="65">
        <v>7</v>
      </c>
      <c r="D104" s="62">
        <v>7013</v>
      </c>
      <c r="E104" s="62" t="s">
        <v>78</v>
      </c>
      <c r="F104" s="62" t="s">
        <v>457</v>
      </c>
      <c r="G104" s="62" t="s">
        <v>93</v>
      </c>
      <c r="H104" s="62" t="s">
        <v>458</v>
      </c>
      <c r="I104" s="62" t="s">
        <v>401</v>
      </c>
      <c r="J104" s="64">
        <v>44581</v>
      </c>
      <c r="K104" s="62" t="s">
        <v>303</v>
      </c>
      <c r="L104" s="62" t="s">
        <v>202</v>
      </c>
      <c r="M104" s="62">
        <v>28.1</v>
      </c>
      <c r="N104" s="62" t="s">
        <v>118</v>
      </c>
      <c r="O104" s="62" t="s">
        <v>92</v>
      </c>
      <c r="P104" s="62" t="s">
        <v>92</v>
      </c>
      <c r="Q104" s="62" t="s">
        <v>92</v>
      </c>
      <c r="R104" s="62" t="s">
        <v>92</v>
      </c>
    </row>
    <row r="105" spans="1:18" ht="229.9" customHeight="1" x14ac:dyDescent="0.25">
      <c r="A105" s="62">
        <v>103</v>
      </c>
      <c r="B105" s="62" t="s">
        <v>425</v>
      </c>
      <c r="C105" s="65">
        <v>7</v>
      </c>
      <c r="D105" s="62" t="s">
        <v>101</v>
      </c>
      <c r="E105" s="62" t="s">
        <v>397</v>
      </c>
      <c r="F105" s="62" t="s">
        <v>543</v>
      </c>
      <c r="G105" s="62" t="s">
        <v>160</v>
      </c>
      <c r="H105" s="62" t="s">
        <v>512</v>
      </c>
      <c r="I105" s="64">
        <v>44607</v>
      </c>
      <c r="K105" s="62" t="s">
        <v>92</v>
      </c>
      <c r="L105" s="62" t="s">
        <v>92</v>
      </c>
      <c r="M105" s="62">
        <v>29.12</v>
      </c>
      <c r="N105" s="62" t="s">
        <v>118</v>
      </c>
      <c r="O105" s="62" t="s">
        <v>459</v>
      </c>
      <c r="P105" s="62" t="s">
        <v>92</v>
      </c>
      <c r="Q105" s="62" t="s">
        <v>92</v>
      </c>
      <c r="R105" s="62" t="s">
        <v>92</v>
      </c>
    </row>
    <row r="106" spans="1:18" ht="75" x14ac:dyDescent="0.25">
      <c r="A106" s="62">
        <v>104</v>
      </c>
      <c r="B106" s="62" t="s">
        <v>439</v>
      </c>
      <c r="C106" s="65">
        <v>7</v>
      </c>
      <c r="D106" s="62">
        <v>7013</v>
      </c>
      <c r="E106" s="62" t="s">
        <v>78</v>
      </c>
      <c r="F106" s="62" t="s">
        <v>460</v>
      </c>
      <c r="G106" s="62" t="s">
        <v>211</v>
      </c>
      <c r="H106" s="62" t="s">
        <v>461</v>
      </c>
      <c r="I106" s="62" t="s">
        <v>394</v>
      </c>
      <c r="K106" s="62" t="s">
        <v>92</v>
      </c>
      <c r="L106" s="62" t="s">
        <v>92</v>
      </c>
      <c r="M106" s="62">
        <v>28.9</v>
      </c>
      <c r="N106" s="62" t="s">
        <v>118</v>
      </c>
      <c r="O106" s="62" t="s">
        <v>92</v>
      </c>
      <c r="P106" s="62" t="s">
        <v>92</v>
      </c>
      <c r="Q106" s="62" t="s">
        <v>92</v>
      </c>
      <c r="R106" s="62" t="s">
        <v>92</v>
      </c>
    </row>
    <row r="107" spans="1:18" ht="30" x14ac:dyDescent="0.25">
      <c r="A107" s="62">
        <v>105</v>
      </c>
      <c r="B107" s="62" t="s">
        <v>439</v>
      </c>
      <c r="C107" s="65">
        <v>7</v>
      </c>
      <c r="D107" s="62">
        <v>7013</v>
      </c>
      <c r="E107" s="62" t="s">
        <v>92</v>
      </c>
      <c r="F107" s="62" t="s">
        <v>462</v>
      </c>
      <c r="G107" s="62" t="s">
        <v>170</v>
      </c>
      <c r="H107" s="62" t="s">
        <v>201</v>
      </c>
      <c r="I107" s="62" t="s">
        <v>439</v>
      </c>
      <c r="J107" s="64">
        <v>44574</v>
      </c>
      <c r="K107" s="62" t="s">
        <v>201</v>
      </c>
      <c r="L107" s="62" t="s">
        <v>202</v>
      </c>
      <c r="M107" s="62">
        <v>33.6</v>
      </c>
      <c r="N107" s="62" t="s">
        <v>118</v>
      </c>
      <c r="O107" s="62" t="s">
        <v>92</v>
      </c>
      <c r="P107" s="62" t="s">
        <v>92</v>
      </c>
      <c r="Q107" s="62" t="s">
        <v>92</v>
      </c>
      <c r="R107" s="62" t="s">
        <v>92</v>
      </c>
    </row>
    <row r="108" spans="1:18" ht="90" x14ac:dyDescent="0.25">
      <c r="A108" s="62">
        <v>106</v>
      </c>
      <c r="B108" s="62" t="s">
        <v>439</v>
      </c>
      <c r="C108" s="65">
        <v>7</v>
      </c>
      <c r="D108" s="62" t="s">
        <v>101</v>
      </c>
      <c r="E108" s="62" t="s">
        <v>165</v>
      </c>
      <c r="F108" s="62" t="s">
        <v>463</v>
      </c>
      <c r="G108" s="62" t="s">
        <v>170</v>
      </c>
      <c r="H108" s="62" t="s">
        <v>393</v>
      </c>
      <c r="I108" s="62" t="s">
        <v>439</v>
      </c>
      <c r="J108" s="64">
        <v>44574</v>
      </c>
      <c r="K108" s="62" t="s">
        <v>464</v>
      </c>
      <c r="L108" s="62" t="s">
        <v>379</v>
      </c>
      <c r="M108" s="62">
        <v>34.1</v>
      </c>
      <c r="N108" s="62" t="s">
        <v>118</v>
      </c>
      <c r="O108" s="62" t="s">
        <v>92</v>
      </c>
      <c r="P108" s="62" t="s">
        <v>92</v>
      </c>
      <c r="Q108" s="62" t="s">
        <v>92</v>
      </c>
      <c r="R108" s="62" t="s">
        <v>241</v>
      </c>
    </row>
    <row r="109" spans="1:18" ht="60" x14ac:dyDescent="0.25">
      <c r="A109" s="62">
        <v>107</v>
      </c>
      <c r="B109" s="62" t="s">
        <v>439</v>
      </c>
      <c r="C109" s="65">
        <v>7</v>
      </c>
      <c r="D109" s="62">
        <v>7014</v>
      </c>
      <c r="E109" s="62" t="s">
        <v>78</v>
      </c>
      <c r="F109" s="62" t="s">
        <v>465</v>
      </c>
      <c r="G109" s="62" t="s">
        <v>93</v>
      </c>
      <c r="H109" s="62" t="s">
        <v>466</v>
      </c>
      <c r="I109" s="62" t="s">
        <v>454</v>
      </c>
      <c r="J109" s="64">
        <v>44575</v>
      </c>
      <c r="K109" s="62" t="s">
        <v>303</v>
      </c>
      <c r="L109" s="62" t="s">
        <v>278</v>
      </c>
      <c r="M109" s="62">
        <v>28.11</v>
      </c>
      <c r="N109" s="62" t="s">
        <v>118</v>
      </c>
      <c r="O109" s="62" t="s">
        <v>92</v>
      </c>
      <c r="P109" s="62" t="s">
        <v>92</v>
      </c>
      <c r="Q109" s="62" t="s">
        <v>92</v>
      </c>
      <c r="R109" s="62" t="s">
        <v>92</v>
      </c>
    </row>
    <row r="110" spans="1:18" ht="120" x14ac:dyDescent="0.25">
      <c r="A110" s="62">
        <v>108</v>
      </c>
      <c r="B110" s="62" t="s">
        <v>439</v>
      </c>
      <c r="C110" s="65">
        <v>7</v>
      </c>
      <c r="D110" s="62" t="s">
        <v>101</v>
      </c>
      <c r="E110" s="62" t="s">
        <v>165</v>
      </c>
      <c r="F110" s="62" t="s">
        <v>467</v>
      </c>
      <c r="G110" s="62" t="s">
        <v>211</v>
      </c>
      <c r="H110" s="62" t="s">
        <v>314</v>
      </c>
      <c r="I110" s="62" t="s">
        <v>394</v>
      </c>
      <c r="L110" s="62" t="s">
        <v>92</v>
      </c>
      <c r="M110" s="62">
        <v>26.3</v>
      </c>
      <c r="N110" s="62" t="s">
        <v>118</v>
      </c>
      <c r="O110" s="62" t="s">
        <v>92</v>
      </c>
      <c r="P110" s="62" t="s">
        <v>92</v>
      </c>
      <c r="Q110" s="62" t="s">
        <v>92</v>
      </c>
      <c r="R110" s="62" t="s">
        <v>241</v>
      </c>
    </row>
    <row r="111" spans="1:18" ht="165" x14ac:dyDescent="0.25">
      <c r="A111" s="62">
        <v>109</v>
      </c>
      <c r="B111" s="62" t="s">
        <v>439</v>
      </c>
      <c r="C111" s="65">
        <v>7</v>
      </c>
      <c r="D111" s="62" t="s">
        <v>101</v>
      </c>
      <c r="E111" s="62" t="s">
        <v>468</v>
      </c>
      <c r="F111" s="62" t="s">
        <v>469</v>
      </c>
      <c r="G111" s="62" t="s">
        <v>160</v>
      </c>
      <c r="H111" s="62" t="s">
        <v>470</v>
      </c>
      <c r="I111" s="64">
        <v>44581</v>
      </c>
      <c r="K111" s="62" t="s">
        <v>92</v>
      </c>
      <c r="L111" s="62" t="s">
        <v>92</v>
      </c>
      <c r="M111" s="62">
        <v>33.1</v>
      </c>
      <c r="N111" s="62" t="s">
        <v>118</v>
      </c>
      <c r="O111" s="62" t="s">
        <v>92</v>
      </c>
      <c r="P111" s="62" t="s">
        <v>92</v>
      </c>
      <c r="Q111" s="62" t="s">
        <v>92</v>
      </c>
      <c r="R111" s="62" t="s">
        <v>241</v>
      </c>
    </row>
    <row r="112" spans="1:18" ht="150" x14ac:dyDescent="0.25">
      <c r="A112" s="62">
        <v>110</v>
      </c>
      <c r="B112" s="62" t="s">
        <v>439</v>
      </c>
      <c r="C112" s="65">
        <v>7</v>
      </c>
      <c r="D112" s="62">
        <v>7014</v>
      </c>
      <c r="E112" s="62" t="s">
        <v>81</v>
      </c>
      <c r="F112" s="62" t="s">
        <v>471</v>
      </c>
      <c r="G112" s="62" t="s">
        <v>168</v>
      </c>
      <c r="H112" s="62" t="s">
        <v>472</v>
      </c>
      <c r="I112" s="62" t="s">
        <v>394</v>
      </c>
      <c r="K112" s="62" t="s">
        <v>92</v>
      </c>
      <c r="L112" s="62" t="s">
        <v>92</v>
      </c>
      <c r="M112" s="62">
        <v>24.1</v>
      </c>
      <c r="N112" s="62" t="s">
        <v>118</v>
      </c>
      <c r="O112" s="62" t="s">
        <v>92</v>
      </c>
      <c r="P112" s="62" t="s">
        <v>473</v>
      </c>
      <c r="Q112" s="62" t="s">
        <v>92</v>
      </c>
      <c r="R112" s="62" t="s">
        <v>241</v>
      </c>
    </row>
    <row r="113" spans="1:18" ht="75" x14ac:dyDescent="0.25">
      <c r="A113" s="62">
        <v>111</v>
      </c>
      <c r="B113" s="62" t="s">
        <v>454</v>
      </c>
      <c r="C113" s="65">
        <v>7</v>
      </c>
      <c r="D113" s="62">
        <v>7013</v>
      </c>
      <c r="E113" s="62" t="s">
        <v>70</v>
      </c>
      <c r="F113" s="62" t="s">
        <v>474</v>
      </c>
      <c r="G113" s="62" t="s">
        <v>160</v>
      </c>
      <c r="H113" s="62" t="s">
        <v>475</v>
      </c>
      <c r="I113" s="62" t="s">
        <v>179</v>
      </c>
      <c r="K113" s="62" t="s">
        <v>92</v>
      </c>
      <c r="L113" s="62" t="s">
        <v>92</v>
      </c>
      <c r="M113" s="62">
        <v>15.2</v>
      </c>
      <c r="N113" s="62" t="s">
        <v>118</v>
      </c>
      <c r="O113" s="62" t="s">
        <v>92</v>
      </c>
      <c r="P113" s="62" t="s">
        <v>92</v>
      </c>
      <c r="Q113" s="62" t="s">
        <v>92</v>
      </c>
      <c r="R113" s="62" t="s">
        <v>241</v>
      </c>
    </row>
    <row r="114" spans="1:18" ht="75" x14ac:dyDescent="0.25">
      <c r="A114" s="62">
        <v>112</v>
      </c>
      <c r="B114" s="62" t="s">
        <v>454</v>
      </c>
      <c r="C114" s="65">
        <v>7</v>
      </c>
      <c r="D114" s="62">
        <v>7014</v>
      </c>
      <c r="E114" s="62" t="s">
        <v>75</v>
      </c>
      <c r="F114" s="62" t="s">
        <v>476</v>
      </c>
      <c r="G114" s="62" t="s">
        <v>93</v>
      </c>
      <c r="H114" s="62" t="s">
        <v>477</v>
      </c>
      <c r="I114" s="62" t="s">
        <v>401</v>
      </c>
      <c r="J114" s="64">
        <v>44592</v>
      </c>
      <c r="K114" s="62" t="s">
        <v>478</v>
      </c>
      <c r="L114" s="62" t="s">
        <v>172</v>
      </c>
      <c r="M114" s="62">
        <v>33.119999999999997</v>
      </c>
      <c r="N114" s="62" t="s">
        <v>118</v>
      </c>
      <c r="O114" s="62" t="s">
        <v>92</v>
      </c>
      <c r="P114" s="62" t="s">
        <v>92</v>
      </c>
      <c r="Q114" s="62" t="s">
        <v>92</v>
      </c>
      <c r="R114" s="62" t="s">
        <v>92</v>
      </c>
    </row>
    <row r="115" spans="1:18" ht="75" x14ac:dyDescent="0.25">
      <c r="A115" s="62">
        <v>113</v>
      </c>
      <c r="B115" s="64">
        <v>44575</v>
      </c>
      <c r="C115" s="65">
        <v>7</v>
      </c>
      <c r="D115" s="62" t="s">
        <v>101</v>
      </c>
      <c r="F115" s="62" t="s">
        <v>479</v>
      </c>
      <c r="G115" s="62" t="s">
        <v>170</v>
      </c>
      <c r="I115" s="62" t="s">
        <v>179</v>
      </c>
      <c r="M115" s="62" t="s">
        <v>498</v>
      </c>
      <c r="N115" s="62" t="s">
        <v>116</v>
      </c>
      <c r="P115" s="62"/>
      <c r="Q115" s="62"/>
      <c r="R115" s="62"/>
    </row>
    <row r="116" spans="1:18" ht="90" x14ac:dyDescent="0.25">
      <c r="A116" s="62">
        <v>114</v>
      </c>
      <c r="B116" s="62" t="s">
        <v>454</v>
      </c>
      <c r="C116" s="65">
        <v>7</v>
      </c>
      <c r="D116" s="62">
        <v>7014</v>
      </c>
      <c r="E116" s="62" t="s">
        <v>92</v>
      </c>
      <c r="F116" s="62" t="s">
        <v>480</v>
      </c>
      <c r="G116" s="62" t="s">
        <v>168</v>
      </c>
      <c r="H116" s="62" t="s">
        <v>481</v>
      </c>
      <c r="I116" s="62" t="s">
        <v>401</v>
      </c>
      <c r="J116" s="64">
        <v>44579</v>
      </c>
      <c r="K116" s="62" t="s">
        <v>482</v>
      </c>
      <c r="L116" s="62" t="s">
        <v>182</v>
      </c>
      <c r="M116" s="62">
        <v>32.1</v>
      </c>
      <c r="N116" s="62" t="s">
        <v>118</v>
      </c>
      <c r="O116" s="62" t="s">
        <v>483</v>
      </c>
      <c r="P116" s="62" t="s">
        <v>484</v>
      </c>
      <c r="Q116" s="62" t="s">
        <v>485</v>
      </c>
      <c r="R116" s="62" t="s">
        <v>92</v>
      </c>
    </row>
    <row r="117" spans="1:18" ht="315" x14ac:dyDescent="0.25">
      <c r="A117" s="62">
        <v>115</v>
      </c>
      <c r="B117" s="64">
        <v>44579</v>
      </c>
      <c r="C117" s="65">
        <v>7</v>
      </c>
      <c r="D117" s="62">
        <v>7013</v>
      </c>
      <c r="E117" s="62" t="s">
        <v>69</v>
      </c>
      <c r="F117" s="62" t="s">
        <v>511</v>
      </c>
      <c r="G117" s="62" t="s">
        <v>211</v>
      </c>
      <c r="H117" s="62" t="s">
        <v>486</v>
      </c>
      <c r="I117" s="64">
        <v>44581</v>
      </c>
      <c r="J117" s="64">
        <v>44586</v>
      </c>
      <c r="K117" s="62" t="s">
        <v>182</v>
      </c>
      <c r="M117" s="62">
        <v>16.100000000000001</v>
      </c>
      <c r="N117" s="62" t="s">
        <v>118</v>
      </c>
      <c r="P117" s="62"/>
      <c r="Q117" s="62"/>
      <c r="R117" s="62"/>
    </row>
    <row r="118" spans="1:18" ht="45" x14ac:dyDescent="0.25">
      <c r="A118" s="62">
        <v>116</v>
      </c>
      <c r="B118" s="62" t="s">
        <v>234</v>
      </c>
      <c r="C118" s="65">
        <v>7</v>
      </c>
      <c r="D118" s="62">
        <v>7014</v>
      </c>
      <c r="E118" s="62" t="s">
        <v>70</v>
      </c>
      <c r="F118" s="62" t="s">
        <v>487</v>
      </c>
      <c r="G118" s="62" t="s">
        <v>211</v>
      </c>
      <c r="H118" s="62" t="s">
        <v>488</v>
      </c>
      <c r="I118" s="62" t="s">
        <v>234</v>
      </c>
      <c r="J118" s="64">
        <v>44581</v>
      </c>
      <c r="K118" s="62" t="s">
        <v>489</v>
      </c>
      <c r="L118" s="62" t="s">
        <v>172</v>
      </c>
      <c r="M118" s="62">
        <v>15.1</v>
      </c>
      <c r="N118" s="62" t="s">
        <v>118</v>
      </c>
      <c r="O118" s="62" t="s">
        <v>490</v>
      </c>
      <c r="P118" s="62" t="s">
        <v>491</v>
      </c>
      <c r="Q118" s="62" t="s">
        <v>492</v>
      </c>
      <c r="R118" s="62" t="s">
        <v>92</v>
      </c>
    </row>
    <row r="119" spans="1:18" ht="30" x14ac:dyDescent="0.25">
      <c r="A119" s="62">
        <v>117</v>
      </c>
      <c r="B119" s="62" t="s">
        <v>234</v>
      </c>
      <c r="C119" s="65">
        <v>7</v>
      </c>
      <c r="D119" s="62">
        <v>7013</v>
      </c>
      <c r="E119" s="62" t="s">
        <v>397</v>
      </c>
      <c r="F119" s="62" t="s">
        <v>493</v>
      </c>
      <c r="G119" s="62" t="s">
        <v>211</v>
      </c>
      <c r="H119" s="62" t="s">
        <v>358</v>
      </c>
      <c r="I119" s="62" t="s">
        <v>234</v>
      </c>
      <c r="J119" s="64">
        <v>44581</v>
      </c>
      <c r="K119" s="62" t="s">
        <v>455</v>
      </c>
      <c r="L119" s="62" t="s">
        <v>220</v>
      </c>
      <c r="M119" s="62">
        <v>29.8</v>
      </c>
      <c r="N119" s="62" t="s">
        <v>118</v>
      </c>
      <c r="O119" s="62" t="s">
        <v>92</v>
      </c>
      <c r="P119" s="62" t="s">
        <v>92</v>
      </c>
      <c r="Q119" s="62" t="s">
        <v>92</v>
      </c>
      <c r="R119" s="62" t="s">
        <v>92</v>
      </c>
    </row>
    <row r="120" spans="1:18" ht="45" x14ac:dyDescent="0.25">
      <c r="A120" s="62">
        <v>118</v>
      </c>
      <c r="B120" s="62" t="s">
        <v>494</v>
      </c>
      <c r="C120" s="65">
        <v>7</v>
      </c>
      <c r="D120" s="62">
        <v>7014</v>
      </c>
      <c r="E120" s="62" t="s">
        <v>397</v>
      </c>
      <c r="F120" s="62" t="s">
        <v>495</v>
      </c>
      <c r="G120" s="62" t="s">
        <v>170</v>
      </c>
      <c r="H120" s="62" t="s">
        <v>407</v>
      </c>
      <c r="I120" s="62" t="s">
        <v>496</v>
      </c>
      <c r="J120" s="64">
        <v>44582</v>
      </c>
      <c r="K120" s="62" t="s">
        <v>497</v>
      </c>
      <c r="L120" s="62" t="s">
        <v>172</v>
      </c>
      <c r="M120" s="62">
        <v>29.15</v>
      </c>
      <c r="N120" s="62" t="s">
        <v>118</v>
      </c>
      <c r="O120" s="62" t="s">
        <v>92</v>
      </c>
      <c r="P120" s="62" t="s">
        <v>92</v>
      </c>
      <c r="Q120" s="62" t="s">
        <v>92</v>
      </c>
      <c r="R120" s="62" t="s">
        <v>92</v>
      </c>
    </row>
    <row r="121" spans="1:18" x14ac:dyDescent="0.25">
      <c r="A121" s="62">
        <v>119</v>
      </c>
      <c r="B121" s="62" t="s">
        <v>499</v>
      </c>
      <c r="C121" s="65">
        <v>8</v>
      </c>
      <c r="D121" s="62">
        <v>7015</v>
      </c>
      <c r="E121" s="62" t="s">
        <v>77</v>
      </c>
      <c r="F121" s="62" t="s">
        <v>500</v>
      </c>
      <c r="G121" s="62" t="s">
        <v>168</v>
      </c>
      <c r="H121" s="62" t="s">
        <v>501</v>
      </c>
      <c r="I121" s="62" t="s">
        <v>502</v>
      </c>
      <c r="K121" s="62" t="s">
        <v>92</v>
      </c>
      <c r="L121" s="62" t="s">
        <v>92</v>
      </c>
      <c r="M121" s="62">
        <v>10.1</v>
      </c>
      <c r="N121" s="62" t="s">
        <v>118</v>
      </c>
      <c r="O121" s="62" t="s">
        <v>92</v>
      </c>
      <c r="P121" s="62" t="s">
        <v>92</v>
      </c>
      <c r="Q121" s="62" t="s">
        <v>92</v>
      </c>
      <c r="R121" s="62" t="s">
        <v>92</v>
      </c>
    </row>
    <row r="122" spans="1:18" x14ac:dyDescent="0.25">
      <c r="A122" s="62">
        <v>120</v>
      </c>
      <c r="B122" s="62" t="s">
        <v>499</v>
      </c>
      <c r="C122" s="65">
        <v>8</v>
      </c>
      <c r="D122" s="62" t="s">
        <v>503</v>
      </c>
      <c r="E122" s="62" t="s">
        <v>66</v>
      </c>
      <c r="F122" s="62" t="s">
        <v>504</v>
      </c>
      <c r="G122" s="62" t="s">
        <v>168</v>
      </c>
      <c r="H122" s="62" t="s">
        <v>501</v>
      </c>
      <c r="I122" s="62" t="s">
        <v>502</v>
      </c>
      <c r="K122" s="62" t="s">
        <v>92</v>
      </c>
      <c r="L122" s="62" t="s">
        <v>92</v>
      </c>
      <c r="M122" s="62">
        <v>10.1</v>
      </c>
      <c r="N122" s="62" t="s">
        <v>118</v>
      </c>
      <c r="O122" s="62" t="s">
        <v>92</v>
      </c>
      <c r="P122" s="62" t="s">
        <v>92</v>
      </c>
      <c r="Q122" s="62" t="s">
        <v>92</v>
      </c>
      <c r="R122" s="62" t="s">
        <v>92</v>
      </c>
    </row>
    <row r="123" spans="1:18" ht="30" x14ac:dyDescent="0.25">
      <c r="A123" s="62">
        <v>121</v>
      </c>
      <c r="B123" s="62" t="s">
        <v>499</v>
      </c>
      <c r="C123" s="65">
        <v>8</v>
      </c>
      <c r="D123" s="62">
        <v>7016</v>
      </c>
      <c r="E123" s="62" t="s">
        <v>505</v>
      </c>
      <c r="F123" s="62" t="s">
        <v>506</v>
      </c>
      <c r="G123" s="62" t="s">
        <v>170</v>
      </c>
      <c r="H123" s="62" t="s">
        <v>197</v>
      </c>
      <c r="I123" s="62" t="s">
        <v>502</v>
      </c>
      <c r="K123" s="62" t="s">
        <v>92</v>
      </c>
      <c r="L123" s="62" t="s">
        <v>92</v>
      </c>
      <c r="M123" s="62">
        <v>10.1</v>
      </c>
      <c r="N123" s="62" t="s">
        <v>118</v>
      </c>
      <c r="O123" s="62" t="s">
        <v>92</v>
      </c>
      <c r="P123" s="62" t="s">
        <v>92</v>
      </c>
      <c r="Q123" s="62" t="s">
        <v>92</v>
      </c>
      <c r="R123" s="62" t="s">
        <v>92</v>
      </c>
    </row>
    <row r="124" spans="1:18" ht="30" x14ac:dyDescent="0.25">
      <c r="A124" s="62">
        <v>122</v>
      </c>
      <c r="B124" s="62" t="s">
        <v>499</v>
      </c>
      <c r="C124" s="65">
        <v>8</v>
      </c>
      <c r="D124" s="62" t="s">
        <v>503</v>
      </c>
      <c r="E124" s="62" t="s">
        <v>194</v>
      </c>
      <c r="F124" s="62" t="s">
        <v>507</v>
      </c>
      <c r="G124" s="62" t="s">
        <v>170</v>
      </c>
      <c r="H124" s="62" t="s">
        <v>508</v>
      </c>
      <c r="I124" s="62" t="s">
        <v>502</v>
      </c>
      <c r="K124" s="62" t="s">
        <v>92</v>
      </c>
      <c r="L124" s="62" t="s">
        <v>92</v>
      </c>
      <c r="M124" s="62">
        <v>10.3</v>
      </c>
      <c r="N124" s="62" t="s">
        <v>118</v>
      </c>
      <c r="O124" s="62" t="s">
        <v>92</v>
      </c>
      <c r="P124" s="62" t="s">
        <v>92</v>
      </c>
      <c r="Q124" s="62" t="s">
        <v>92</v>
      </c>
      <c r="R124" s="62" t="s">
        <v>92</v>
      </c>
    </row>
    <row r="125" spans="1:18" ht="45" x14ac:dyDescent="0.25">
      <c r="A125" s="62">
        <v>123</v>
      </c>
      <c r="B125" s="62" t="s">
        <v>499</v>
      </c>
      <c r="C125" s="65">
        <v>8</v>
      </c>
      <c r="D125" s="62" t="s">
        <v>503</v>
      </c>
      <c r="E125" s="62" t="s">
        <v>170</v>
      </c>
      <c r="F125" s="62" t="s">
        <v>509</v>
      </c>
      <c r="G125" s="62" t="s">
        <v>170</v>
      </c>
      <c r="H125" s="62" t="s">
        <v>197</v>
      </c>
      <c r="I125" s="62" t="s">
        <v>510</v>
      </c>
      <c r="K125" s="62" t="s">
        <v>92</v>
      </c>
      <c r="L125" s="62" t="s">
        <v>92</v>
      </c>
      <c r="M125" s="62">
        <v>10.5</v>
      </c>
      <c r="N125" s="62" t="s">
        <v>118</v>
      </c>
      <c r="O125" s="62" t="s">
        <v>92</v>
      </c>
      <c r="P125" s="62" t="s">
        <v>92</v>
      </c>
      <c r="Q125" s="62" t="s">
        <v>92</v>
      </c>
      <c r="R125" s="62" t="s">
        <v>92</v>
      </c>
    </row>
    <row r="126" spans="1:18" ht="45" x14ac:dyDescent="0.25">
      <c r="A126" s="62">
        <v>124</v>
      </c>
      <c r="B126" s="62" t="s">
        <v>502</v>
      </c>
      <c r="C126" s="65">
        <v>8</v>
      </c>
      <c r="D126" s="62">
        <v>7016</v>
      </c>
      <c r="E126" s="62" t="s">
        <v>67</v>
      </c>
      <c r="F126" s="62" t="s">
        <v>515</v>
      </c>
      <c r="G126" s="62" t="s">
        <v>211</v>
      </c>
      <c r="H126" s="62" t="s">
        <v>516</v>
      </c>
      <c r="I126" s="62" t="s">
        <v>502</v>
      </c>
      <c r="J126" s="64">
        <v>44595</v>
      </c>
      <c r="K126" s="62" t="s">
        <v>338</v>
      </c>
      <c r="L126" s="62" t="s">
        <v>172</v>
      </c>
      <c r="M126" s="62">
        <v>12.1</v>
      </c>
      <c r="N126" s="62" t="s">
        <v>118</v>
      </c>
      <c r="O126" s="62" t="s">
        <v>92</v>
      </c>
      <c r="P126" s="62" t="s">
        <v>92</v>
      </c>
      <c r="Q126" s="62" t="s">
        <v>92</v>
      </c>
      <c r="R126" s="62">
        <v>33</v>
      </c>
    </row>
    <row r="127" spans="1:18" ht="45" x14ac:dyDescent="0.25">
      <c r="A127" s="62">
        <v>125</v>
      </c>
      <c r="B127" s="62" t="s">
        <v>502</v>
      </c>
      <c r="C127" s="65">
        <v>8</v>
      </c>
      <c r="D127" s="62">
        <v>7015</v>
      </c>
      <c r="E127" s="62" t="s">
        <v>194</v>
      </c>
      <c r="F127" s="62" t="s">
        <v>517</v>
      </c>
      <c r="G127" s="62" t="s">
        <v>170</v>
      </c>
      <c r="H127" s="62" t="s">
        <v>518</v>
      </c>
      <c r="I127" s="62" t="s">
        <v>502</v>
      </c>
      <c r="J127" s="64">
        <v>44595</v>
      </c>
      <c r="K127" s="62" t="s">
        <v>237</v>
      </c>
      <c r="L127" s="62" t="s">
        <v>202</v>
      </c>
      <c r="M127" s="62">
        <v>12.1</v>
      </c>
      <c r="N127" s="62" t="s">
        <v>118</v>
      </c>
      <c r="O127" s="62" t="s">
        <v>92</v>
      </c>
      <c r="P127" s="62" t="s">
        <v>92</v>
      </c>
      <c r="Q127" s="62" t="s">
        <v>92</v>
      </c>
      <c r="R127" s="62" t="s">
        <v>92</v>
      </c>
    </row>
    <row r="128" spans="1:18" ht="60" x14ac:dyDescent="0.25">
      <c r="A128" s="62">
        <v>126</v>
      </c>
      <c r="B128" s="64">
        <v>44595</v>
      </c>
      <c r="C128" s="65">
        <v>8</v>
      </c>
      <c r="D128" s="62">
        <v>7015</v>
      </c>
      <c r="E128" s="62" t="s">
        <v>67</v>
      </c>
      <c r="F128" s="62" t="s">
        <v>522</v>
      </c>
      <c r="G128" s="62" t="s">
        <v>211</v>
      </c>
      <c r="H128" s="62" t="s">
        <v>519</v>
      </c>
      <c r="I128" s="64">
        <v>44595</v>
      </c>
      <c r="J128" s="64">
        <v>44596</v>
      </c>
      <c r="K128" s="62" t="s">
        <v>172</v>
      </c>
      <c r="L128" s="62" t="s">
        <v>523</v>
      </c>
      <c r="M128" s="62">
        <v>12.1</v>
      </c>
      <c r="N128" s="62" t="s">
        <v>118</v>
      </c>
      <c r="P128" s="62"/>
      <c r="Q128" s="62"/>
      <c r="R128" s="62">
        <v>33</v>
      </c>
    </row>
    <row r="129" spans="1:18" ht="60" x14ac:dyDescent="0.25">
      <c r="A129" s="62">
        <v>127</v>
      </c>
      <c r="B129" s="62" t="s">
        <v>315</v>
      </c>
      <c r="C129" s="65">
        <v>8</v>
      </c>
      <c r="D129" s="62">
        <v>7016</v>
      </c>
      <c r="E129" s="62" t="s">
        <v>524</v>
      </c>
      <c r="F129" s="62" t="s">
        <v>529</v>
      </c>
      <c r="G129" s="62" t="s">
        <v>211</v>
      </c>
      <c r="H129" s="62" t="s">
        <v>525</v>
      </c>
      <c r="I129" s="62" t="s">
        <v>315</v>
      </c>
      <c r="K129" s="62" t="s">
        <v>92</v>
      </c>
      <c r="L129" s="62" t="s">
        <v>92</v>
      </c>
      <c r="M129" s="62">
        <v>12.1</v>
      </c>
      <c r="N129" s="62" t="s">
        <v>118</v>
      </c>
      <c r="O129" s="62" t="s">
        <v>92</v>
      </c>
      <c r="P129" s="62" t="s">
        <v>92</v>
      </c>
      <c r="Q129" s="62" t="s">
        <v>92</v>
      </c>
      <c r="R129" s="62" t="s">
        <v>92</v>
      </c>
    </row>
    <row r="130" spans="1:18" ht="30" x14ac:dyDescent="0.25">
      <c r="A130" s="62">
        <v>128</v>
      </c>
      <c r="B130" s="62" t="s">
        <v>315</v>
      </c>
      <c r="C130" s="65">
        <v>8</v>
      </c>
      <c r="D130" s="62" t="s">
        <v>503</v>
      </c>
      <c r="E130" s="62" t="s">
        <v>170</v>
      </c>
      <c r="F130" s="62" t="s">
        <v>526</v>
      </c>
      <c r="G130" s="62" t="s">
        <v>170</v>
      </c>
      <c r="H130" s="62" t="s">
        <v>527</v>
      </c>
      <c r="I130" s="62" t="s">
        <v>315</v>
      </c>
      <c r="J130" s="64">
        <v>44596</v>
      </c>
      <c r="K130" s="62" t="s">
        <v>528</v>
      </c>
      <c r="L130" s="62" t="s">
        <v>182</v>
      </c>
      <c r="M130" s="62">
        <v>12.1</v>
      </c>
      <c r="N130" s="62" t="s">
        <v>118</v>
      </c>
      <c r="O130" s="62" t="s">
        <v>92</v>
      </c>
      <c r="P130" s="62" t="s">
        <v>92</v>
      </c>
      <c r="Q130" s="62" t="s">
        <v>92</v>
      </c>
      <c r="R130" s="62" t="s">
        <v>92</v>
      </c>
    </row>
    <row r="131" spans="1:18" ht="45" x14ac:dyDescent="0.25">
      <c r="A131" s="62">
        <v>129</v>
      </c>
      <c r="B131" s="62" t="s">
        <v>315</v>
      </c>
      <c r="C131" s="65">
        <v>8</v>
      </c>
      <c r="D131" s="62">
        <v>7015</v>
      </c>
      <c r="E131" s="62" t="s">
        <v>170</v>
      </c>
      <c r="F131" s="62" t="s">
        <v>530</v>
      </c>
      <c r="G131" s="62" t="s">
        <v>170</v>
      </c>
      <c r="H131" s="62" t="s">
        <v>201</v>
      </c>
      <c r="I131" s="62" t="s">
        <v>315</v>
      </c>
      <c r="J131" s="64">
        <v>44596</v>
      </c>
      <c r="K131" s="62" t="s">
        <v>201</v>
      </c>
      <c r="L131" s="62" t="s">
        <v>202</v>
      </c>
      <c r="M131" s="62">
        <v>12.1</v>
      </c>
      <c r="N131" s="62" t="s">
        <v>118</v>
      </c>
      <c r="O131" s="62" t="s">
        <v>92</v>
      </c>
      <c r="P131" s="62" t="s">
        <v>92</v>
      </c>
      <c r="Q131" s="62" t="s">
        <v>92</v>
      </c>
      <c r="R131" s="62" t="s">
        <v>92</v>
      </c>
    </row>
    <row r="132" spans="1:18" ht="30" x14ac:dyDescent="0.25">
      <c r="A132" s="62">
        <v>130</v>
      </c>
      <c r="B132" s="62" t="s">
        <v>315</v>
      </c>
      <c r="C132" s="65">
        <v>8</v>
      </c>
      <c r="D132" s="62">
        <v>7015</v>
      </c>
      <c r="E132" s="62" t="s">
        <v>170</v>
      </c>
      <c r="F132" s="62" t="s">
        <v>531</v>
      </c>
      <c r="G132" s="62" t="s">
        <v>170</v>
      </c>
      <c r="H132" s="62" t="s">
        <v>201</v>
      </c>
      <c r="I132" s="62" t="s">
        <v>315</v>
      </c>
      <c r="J132" s="64">
        <v>44596</v>
      </c>
      <c r="K132" s="62" t="s">
        <v>201</v>
      </c>
      <c r="L132" s="62" t="s">
        <v>202</v>
      </c>
      <c r="M132" s="62">
        <v>12.1</v>
      </c>
      <c r="N132" s="62" t="s">
        <v>118</v>
      </c>
      <c r="O132" s="62" t="s">
        <v>92</v>
      </c>
      <c r="P132" s="62" t="s">
        <v>92</v>
      </c>
      <c r="Q132" s="62" t="s">
        <v>92</v>
      </c>
      <c r="R132" s="62" t="s">
        <v>92</v>
      </c>
    </row>
    <row r="133" spans="1:18" ht="65.45" customHeight="1" x14ac:dyDescent="0.25">
      <c r="A133" s="62">
        <v>131</v>
      </c>
      <c r="B133" s="62" t="s">
        <v>532</v>
      </c>
      <c r="C133" s="65">
        <v>8</v>
      </c>
      <c r="D133" s="62">
        <v>7015</v>
      </c>
      <c r="E133" s="62" t="s">
        <v>67</v>
      </c>
      <c r="F133" s="62" t="s">
        <v>569</v>
      </c>
      <c r="G133" s="62" t="s">
        <v>170</v>
      </c>
      <c r="H133" s="62" t="s">
        <v>508</v>
      </c>
      <c r="I133" s="64">
        <v>44601</v>
      </c>
      <c r="J133" s="64">
        <v>44601</v>
      </c>
      <c r="K133" s="62" t="s">
        <v>201</v>
      </c>
      <c r="L133" s="62" t="s">
        <v>202</v>
      </c>
      <c r="M133" s="62">
        <v>12.1</v>
      </c>
      <c r="N133" s="62" t="s">
        <v>118</v>
      </c>
      <c r="O133" s="62" t="s">
        <v>550</v>
      </c>
      <c r="P133" s="62" t="s">
        <v>92</v>
      </c>
      <c r="Q133" s="62" t="s">
        <v>92</v>
      </c>
      <c r="R133" s="62" t="s">
        <v>92</v>
      </c>
    </row>
    <row r="134" spans="1:18" ht="30" x14ac:dyDescent="0.25">
      <c r="A134" s="62">
        <v>132</v>
      </c>
      <c r="B134" s="62" t="s">
        <v>532</v>
      </c>
      <c r="C134" s="65">
        <v>8</v>
      </c>
      <c r="D134" s="62">
        <v>7016</v>
      </c>
      <c r="E134" s="62" t="s">
        <v>67</v>
      </c>
      <c r="F134" s="62" t="s">
        <v>533</v>
      </c>
      <c r="G134" s="62" t="s">
        <v>211</v>
      </c>
      <c r="H134" s="62" t="s">
        <v>555</v>
      </c>
      <c r="I134" s="64">
        <v>44610</v>
      </c>
      <c r="K134" s="62" t="s">
        <v>92</v>
      </c>
      <c r="L134" s="62" t="s">
        <v>92</v>
      </c>
      <c r="M134" s="62">
        <v>25.2</v>
      </c>
      <c r="N134" s="62" t="s">
        <v>118</v>
      </c>
      <c r="O134" s="62" t="s">
        <v>551</v>
      </c>
      <c r="P134" s="62" t="s">
        <v>92</v>
      </c>
      <c r="Q134" s="62" t="s">
        <v>92</v>
      </c>
      <c r="R134" s="62">
        <v>58</v>
      </c>
    </row>
    <row r="135" spans="1:18" ht="90" x14ac:dyDescent="0.25">
      <c r="A135" s="62">
        <v>133</v>
      </c>
      <c r="B135" s="62" t="s">
        <v>532</v>
      </c>
      <c r="C135" s="65">
        <v>8</v>
      </c>
      <c r="D135" s="62">
        <v>7016</v>
      </c>
      <c r="E135" s="62" t="s">
        <v>70</v>
      </c>
      <c r="F135" s="62" t="s">
        <v>552</v>
      </c>
      <c r="G135" s="62" t="s">
        <v>170</v>
      </c>
      <c r="H135" s="62" t="s">
        <v>534</v>
      </c>
      <c r="I135" s="62" t="s">
        <v>532</v>
      </c>
      <c r="J135" s="64">
        <v>44600</v>
      </c>
      <c r="K135" s="62" t="s">
        <v>219</v>
      </c>
      <c r="L135" s="62" t="s">
        <v>220</v>
      </c>
      <c r="M135" s="62">
        <v>14.1</v>
      </c>
      <c r="N135" s="62" t="s">
        <v>118</v>
      </c>
      <c r="O135" s="62" t="s">
        <v>535</v>
      </c>
      <c r="P135" s="62" t="s">
        <v>553</v>
      </c>
      <c r="Q135" s="62" t="s">
        <v>554</v>
      </c>
      <c r="R135" s="62" t="s">
        <v>92</v>
      </c>
    </row>
    <row r="136" spans="1:18" ht="79.900000000000006" customHeight="1" x14ac:dyDescent="0.25">
      <c r="A136" s="62">
        <v>134</v>
      </c>
      <c r="B136" s="62" t="s">
        <v>532</v>
      </c>
      <c r="C136" s="65">
        <v>8</v>
      </c>
      <c r="D136" s="62">
        <v>7016</v>
      </c>
      <c r="E136" s="62" t="s">
        <v>80</v>
      </c>
      <c r="F136" s="62" t="s">
        <v>564</v>
      </c>
      <c r="G136" s="62" t="s">
        <v>211</v>
      </c>
      <c r="H136" s="62" t="s">
        <v>563</v>
      </c>
      <c r="I136" s="62" t="s">
        <v>532</v>
      </c>
      <c r="J136" s="64">
        <v>44600</v>
      </c>
      <c r="K136" s="62" t="s">
        <v>455</v>
      </c>
      <c r="L136" s="62" t="s">
        <v>172</v>
      </c>
      <c r="M136" s="62">
        <v>14.1</v>
      </c>
      <c r="N136" s="62" t="s">
        <v>118</v>
      </c>
      <c r="O136" s="62" t="s">
        <v>547</v>
      </c>
      <c r="P136" s="62" t="s">
        <v>92</v>
      </c>
      <c r="Q136" s="62" t="s">
        <v>92</v>
      </c>
      <c r="R136" s="62" t="s">
        <v>92</v>
      </c>
    </row>
    <row r="137" spans="1:18" ht="45" x14ac:dyDescent="0.25">
      <c r="A137" s="62">
        <v>135</v>
      </c>
      <c r="B137" s="62" t="s">
        <v>532</v>
      </c>
      <c r="C137" s="65">
        <v>8</v>
      </c>
      <c r="D137" s="62">
        <v>7016</v>
      </c>
      <c r="E137" s="62" t="s">
        <v>67</v>
      </c>
      <c r="F137" s="62" t="s">
        <v>536</v>
      </c>
      <c r="G137" s="62" t="s">
        <v>211</v>
      </c>
      <c r="H137" s="62" t="s">
        <v>518</v>
      </c>
      <c r="I137" s="62" t="s">
        <v>532</v>
      </c>
      <c r="J137" s="64">
        <v>44599</v>
      </c>
      <c r="K137" s="62" t="s">
        <v>410</v>
      </c>
      <c r="L137" s="62" t="s">
        <v>202</v>
      </c>
      <c r="M137" s="62">
        <v>12.1</v>
      </c>
      <c r="N137" s="62" t="s">
        <v>118</v>
      </c>
      <c r="O137" s="62" t="s">
        <v>92</v>
      </c>
      <c r="P137" s="62" t="s">
        <v>92</v>
      </c>
      <c r="Q137" s="62" t="s">
        <v>92</v>
      </c>
      <c r="R137" s="62" t="s">
        <v>92</v>
      </c>
    </row>
    <row r="138" spans="1:18" x14ac:dyDescent="0.25">
      <c r="A138" s="62">
        <v>136</v>
      </c>
      <c r="B138" s="62" t="s">
        <v>532</v>
      </c>
      <c r="C138" s="65">
        <v>8</v>
      </c>
      <c r="D138" s="62">
        <v>7016</v>
      </c>
      <c r="E138" s="62" t="s">
        <v>170</v>
      </c>
      <c r="F138" s="62" t="s">
        <v>537</v>
      </c>
      <c r="G138" s="62" t="s">
        <v>170</v>
      </c>
      <c r="H138" s="62" t="s">
        <v>410</v>
      </c>
      <c r="I138" s="62" t="s">
        <v>532</v>
      </c>
      <c r="J138" s="64">
        <v>44599</v>
      </c>
      <c r="K138" s="62" t="s">
        <v>538</v>
      </c>
      <c r="L138" s="62" t="s">
        <v>202</v>
      </c>
      <c r="M138" s="62">
        <v>14.1</v>
      </c>
      <c r="N138" s="62" t="s">
        <v>118</v>
      </c>
      <c r="O138" s="62" t="s">
        <v>92</v>
      </c>
      <c r="P138" s="62" t="s">
        <v>92</v>
      </c>
      <c r="Q138" s="62" t="s">
        <v>92</v>
      </c>
      <c r="R138" s="62" t="s">
        <v>92</v>
      </c>
    </row>
    <row r="139" spans="1:18" ht="30" x14ac:dyDescent="0.25">
      <c r="A139" s="62">
        <v>137</v>
      </c>
      <c r="B139" s="62" t="s">
        <v>532</v>
      </c>
      <c r="C139" s="65">
        <v>8</v>
      </c>
      <c r="D139" s="62">
        <v>7015</v>
      </c>
      <c r="E139" s="62" t="s">
        <v>170</v>
      </c>
      <c r="F139" s="62" t="s">
        <v>539</v>
      </c>
      <c r="G139" s="62" t="s">
        <v>170</v>
      </c>
      <c r="H139" s="62" t="s">
        <v>201</v>
      </c>
      <c r="I139" s="62" t="s">
        <v>532</v>
      </c>
      <c r="J139" s="64">
        <v>44599</v>
      </c>
      <c r="K139" s="62" t="s">
        <v>201</v>
      </c>
      <c r="L139" s="62" t="s">
        <v>202</v>
      </c>
      <c r="M139" s="62">
        <v>14.1</v>
      </c>
      <c r="N139" s="62" t="s">
        <v>118</v>
      </c>
      <c r="O139" s="62" t="s">
        <v>92</v>
      </c>
      <c r="P139" s="62" t="s">
        <v>92</v>
      </c>
      <c r="Q139" s="62" t="s">
        <v>92</v>
      </c>
      <c r="R139" s="62" t="s">
        <v>92</v>
      </c>
    </row>
    <row r="140" spans="1:18" ht="60" x14ac:dyDescent="0.25">
      <c r="A140" s="62">
        <v>138</v>
      </c>
      <c r="B140" s="62" t="s">
        <v>532</v>
      </c>
      <c r="C140" s="65">
        <v>8</v>
      </c>
      <c r="D140" s="62" t="s">
        <v>503</v>
      </c>
      <c r="E140" s="62" t="s">
        <v>70</v>
      </c>
      <c r="F140" s="62" t="s">
        <v>541</v>
      </c>
      <c r="G140" s="62" t="s">
        <v>211</v>
      </c>
      <c r="H140" s="62" t="s">
        <v>542</v>
      </c>
      <c r="I140" s="62" t="s">
        <v>532</v>
      </c>
      <c r="K140" s="62" t="s">
        <v>92</v>
      </c>
      <c r="L140" s="62" t="s">
        <v>92</v>
      </c>
      <c r="M140" s="62">
        <v>13.1</v>
      </c>
      <c r="N140" s="62" t="s">
        <v>118</v>
      </c>
      <c r="O140" s="62" t="s">
        <v>92</v>
      </c>
      <c r="P140" s="62" t="s">
        <v>92</v>
      </c>
      <c r="Q140" s="62" t="s">
        <v>92</v>
      </c>
      <c r="R140" s="62">
        <v>39</v>
      </c>
    </row>
    <row r="141" spans="1:18" ht="49.15" customHeight="1" x14ac:dyDescent="0.25">
      <c r="A141" s="62">
        <v>139</v>
      </c>
      <c r="B141" s="62" t="s">
        <v>532</v>
      </c>
      <c r="C141" s="65">
        <v>8</v>
      </c>
      <c r="D141" s="62" t="s">
        <v>503</v>
      </c>
      <c r="F141" s="62" t="s">
        <v>548</v>
      </c>
      <c r="G141" s="62" t="s">
        <v>160</v>
      </c>
      <c r="H141" s="62" t="s">
        <v>545</v>
      </c>
      <c r="I141" s="62" t="s">
        <v>546</v>
      </c>
      <c r="K141" s="62" t="s">
        <v>92</v>
      </c>
      <c r="L141" s="62" t="s">
        <v>92</v>
      </c>
      <c r="M141" s="62">
        <v>13.1</v>
      </c>
      <c r="N141" s="62" t="s">
        <v>118</v>
      </c>
      <c r="O141" s="62" t="s">
        <v>92</v>
      </c>
      <c r="P141" s="62" t="s">
        <v>92</v>
      </c>
      <c r="Q141" s="62" t="s">
        <v>92</v>
      </c>
      <c r="R141" s="62">
        <v>103</v>
      </c>
    </row>
    <row r="142" spans="1:18" ht="30" x14ac:dyDescent="0.25">
      <c r="A142" s="62">
        <v>140</v>
      </c>
      <c r="B142" s="62" t="s">
        <v>532</v>
      </c>
      <c r="C142" s="65">
        <v>8</v>
      </c>
      <c r="D142" s="62">
        <v>7016</v>
      </c>
      <c r="E142" s="62" t="s">
        <v>194</v>
      </c>
      <c r="F142" s="62" t="s">
        <v>549</v>
      </c>
      <c r="G142" s="62" t="s">
        <v>93</v>
      </c>
      <c r="H142" s="62" t="s">
        <v>438</v>
      </c>
      <c r="I142" s="64">
        <v>44600</v>
      </c>
      <c r="J142" s="64">
        <v>44600</v>
      </c>
      <c r="K142" s="62" t="s">
        <v>201</v>
      </c>
      <c r="L142" s="62" t="s">
        <v>220</v>
      </c>
      <c r="M142" s="62">
        <v>15.11</v>
      </c>
      <c r="N142" s="62" t="s">
        <v>118</v>
      </c>
      <c r="O142" s="62" t="s">
        <v>92</v>
      </c>
      <c r="P142" s="62" t="s">
        <v>92</v>
      </c>
      <c r="Q142" s="62" t="s">
        <v>92</v>
      </c>
      <c r="R142" s="62" t="s">
        <v>92</v>
      </c>
    </row>
    <row r="143" spans="1:18" ht="30" x14ac:dyDescent="0.25">
      <c r="A143" s="62">
        <v>141</v>
      </c>
      <c r="B143" s="62" t="s">
        <v>510</v>
      </c>
      <c r="C143" s="65">
        <v>8</v>
      </c>
      <c r="D143" s="62">
        <v>7016</v>
      </c>
      <c r="E143" s="62" t="s">
        <v>67</v>
      </c>
      <c r="F143" s="62" t="s">
        <v>556</v>
      </c>
      <c r="G143" s="62" t="s">
        <v>168</v>
      </c>
      <c r="H143" s="62" t="s">
        <v>472</v>
      </c>
      <c r="I143" s="62" t="s">
        <v>510</v>
      </c>
      <c r="J143" s="64">
        <v>44600</v>
      </c>
      <c r="K143" s="62" t="s">
        <v>557</v>
      </c>
      <c r="L143" s="62" t="s">
        <v>172</v>
      </c>
      <c r="M143" s="62">
        <v>16.2</v>
      </c>
      <c r="N143" s="62" t="s">
        <v>118</v>
      </c>
      <c r="O143" s="62" t="s">
        <v>92</v>
      </c>
      <c r="P143" s="62" t="s">
        <v>92</v>
      </c>
      <c r="Q143" s="62" t="s">
        <v>92</v>
      </c>
      <c r="R143" s="62" t="s">
        <v>92</v>
      </c>
    </row>
    <row r="144" spans="1:18" x14ac:dyDescent="0.25">
      <c r="A144" s="62">
        <v>142</v>
      </c>
      <c r="B144" s="62" t="s">
        <v>510</v>
      </c>
      <c r="C144" s="65">
        <v>8</v>
      </c>
      <c r="D144" s="62">
        <v>7015</v>
      </c>
      <c r="E144" s="62" t="s">
        <v>67</v>
      </c>
      <c r="F144" s="62" t="s">
        <v>558</v>
      </c>
      <c r="G144" s="62" t="s">
        <v>211</v>
      </c>
      <c r="H144" s="62" t="s">
        <v>559</v>
      </c>
      <c r="I144" s="62" t="s">
        <v>510</v>
      </c>
      <c r="J144" s="64">
        <v>44600</v>
      </c>
      <c r="K144" s="62" t="s">
        <v>171</v>
      </c>
      <c r="L144" s="62" t="s">
        <v>202</v>
      </c>
      <c r="M144" s="62">
        <v>16.2</v>
      </c>
      <c r="N144" s="62" t="s">
        <v>118</v>
      </c>
      <c r="O144" s="62" t="s">
        <v>92</v>
      </c>
      <c r="P144" s="62" t="s">
        <v>92</v>
      </c>
      <c r="Q144" s="62" t="s">
        <v>92</v>
      </c>
      <c r="R144" s="62" t="s">
        <v>92</v>
      </c>
    </row>
    <row r="145" spans="1:18" ht="45" x14ac:dyDescent="0.25">
      <c r="A145" s="62">
        <v>143</v>
      </c>
      <c r="B145" s="62" t="s">
        <v>510</v>
      </c>
      <c r="C145" s="65">
        <v>8</v>
      </c>
      <c r="D145" s="62">
        <v>7015</v>
      </c>
      <c r="E145" s="62" t="s">
        <v>69</v>
      </c>
      <c r="F145" s="62" t="s">
        <v>560</v>
      </c>
      <c r="G145" s="62" t="s">
        <v>211</v>
      </c>
      <c r="H145" s="62" t="s">
        <v>573</v>
      </c>
      <c r="I145" s="62" t="s">
        <v>561</v>
      </c>
      <c r="K145" s="62" t="s">
        <v>92</v>
      </c>
      <c r="L145" s="62" t="s">
        <v>92</v>
      </c>
      <c r="M145" s="62">
        <v>16.100000000000001</v>
      </c>
      <c r="N145" s="62" t="s">
        <v>118</v>
      </c>
      <c r="O145" s="62" t="s">
        <v>572</v>
      </c>
      <c r="P145" s="62" t="s">
        <v>92</v>
      </c>
      <c r="Q145" s="62" t="s">
        <v>92</v>
      </c>
      <c r="R145" s="62" t="s">
        <v>92</v>
      </c>
    </row>
    <row r="146" spans="1:18" ht="30" x14ac:dyDescent="0.25">
      <c r="A146" s="62">
        <v>144</v>
      </c>
      <c r="B146" s="62" t="s">
        <v>510</v>
      </c>
      <c r="C146" s="65">
        <v>8</v>
      </c>
      <c r="D146" s="62" t="s">
        <v>503</v>
      </c>
      <c r="E146" s="62" t="s">
        <v>170</v>
      </c>
      <c r="F146" s="62" t="s">
        <v>574</v>
      </c>
      <c r="G146" s="62" t="s">
        <v>170</v>
      </c>
      <c r="H146" s="62" t="s">
        <v>562</v>
      </c>
      <c r="I146" s="62" t="s">
        <v>561</v>
      </c>
      <c r="J146" s="64">
        <v>44601</v>
      </c>
      <c r="K146" s="62" t="s">
        <v>410</v>
      </c>
      <c r="L146" s="62" t="s">
        <v>172</v>
      </c>
      <c r="M146" s="62">
        <v>19.100000000000001</v>
      </c>
      <c r="N146" s="62" t="s">
        <v>118</v>
      </c>
      <c r="O146" s="62" t="s">
        <v>92</v>
      </c>
      <c r="P146" s="62" t="s">
        <v>92</v>
      </c>
      <c r="Q146" s="62" t="s">
        <v>92</v>
      </c>
      <c r="R146" s="62" t="s">
        <v>92</v>
      </c>
    </row>
    <row r="147" spans="1:18" x14ac:dyDescent="0.25">
      <c r="A147" s="62">
        <v>145</v>
      </c>
      <c r="B147" s="62" t="s">
        <v>561</v>
      </c>
      <c r="C147" s="65">
        <v>8</v>
      </c>
      <c r="D147" s="62">
        <v>7015</v>
      </c>
      <c r="E147" s="62" t="s">
        <v>397</v>
      </c>
      <c r="F147" s="62" t="s">
        <v>565</v>
      </c>
      <c r="G147" s="62" t="s">
        <v>211</v>
      </c>
      <c r="H147" s="62" t="s">
        <v>566</v>
      </c>
      <c r="I147" s="62" t="s">
        <v>561</v>
      </c>
      <c r="J147" s="64">
        <v>44601</v>
      </c>
      <c r="K147" s="62" t="s">
        <v>567</v>
      </c>
      <c r="L147" s="62" t="s">
        <v>172</v>
      </c>
      <c r="M147" s="62">
        <v>16.100000000000001</v>
      </c>
      <c r="N147" s="62" t="s">
        <v>118</v>
      </c>
      <c r="O147" s="62" t="s">
        <v>92</v>
      </c>
      <c r="P147" s="62" t="s">
        <v>92</v>
      </c>
      <c r="Q147" s="62" t="s">
        <v>92</v>
      </c>
      <c r="R147" s="62">
        <v>77</v>
      </c>
    </row>
    <row r="148" spans="1:18" ht="45" x14ac:dyDescent="0.25">
      <c r="A148" s="62">
        <v>146</v>
      </c>
      <c r="B148" s="62" t="s">
        <v>561</v>
      </c>
      <c r="C148" s="65">
        <v>8</v>
      </c>
      <c r="D148" s="62">
        <v>7015</v>
      </c>
      <c r="E148" s="62" t="s">
        <v>397</v>
      </c>
      <c r="F148" s="62" t="s">
        <v>570</v>
      </c>
      <c r="G148" s="62" t="s">
        <v>211</v>
      </c>
      <c r="H148" s="62" t="s">
        <v>566</v>
      </c>
      <c r="I148" s="62" t="s">
        <v>568</v>
      </c>
      <c r="K148" s="62" t="s">
        <v>92</v>
      </c>
      <c r="L148" s="62" t="s">
        <v>92</v>
      </c>
      <c r="M148" s="62">
        <v>16.2</v>
      </c>
      <c r="N148" s="62" t="s">
        <v>118</v>
      </c>
      <c r="O148" s="62" t="s">
        <v>92</v>
      </c>
      <c r="P148" s="62" t="s">
        <v>92</v>
      </c>
      <c r="Q148" s="62" t="s">
        <v>92</v>
      </c>
      <c r="R148" s="62" t="s">
        <v>92</v>
      </c>
    </row>
    <row r="149" spans="1:18" ht="30" x14ac:dyDescent="0.25">
      <c r="A149" s="62">
        <v>147</v>
      </c>
      <c r="B149" s="62" t="s">
        <v>561</v>
      </c>
      <c r="C149" s="65">
        <v>8</v>
      </c>
      <c r="D149" s="62">
        <v>7015</v>
      </c>
      <c r="E149" s="62" t="s">
        <v>67</v>
      </c>
      <c r="F149" s="62" t="s">
        <v>571</v>
      </c>
      <c r="G149" s="62" t="s">
        <v>211</v>
      </c>
      <c r="H149" s="62" t="s">
        <v>472</v>
      </c>
      <c r="I149" s="62" t="s">
        <v>561</v>
      </c>
      <c r="K149" s="62" t="s">
        <v>92</v>
      </c>
      <c r="L149" s="62" t="s">
        <v>92</v>
      </c>
      <c r="M149" s="62">
        <v>25.2</v>
      </c>
      <c r="N149" s="62" t="s">
        <v>118</v>
      </c>
      <c r="O149" s="62" t="s">
        <v>92</v>
      </c>
      <c r="P149" s="62" t="s">
        <v>92</v>
      </c>
      <c r="Q149" s="62" t="s">
        <v>92</v>
      </c>
      <c r="R149" s="62">
        <v>58</v>
      </c>
    </row>
    <row r="150" spans="1:18" x14ac:dyDescent="0.25">
      <c r="P150" s="62"/>
      <c r="Q150" s="62"/>
      <c r="R150" s="62"/>
    </row>
    <row r="151" spans="1:18" x14ac:dyDescent="0.25">
      <c r="P151" s="62"/>
      <c r="Q151" s="62"/>
      <c r="R151" s="62"/>
    </row>
    <row r="152" spans="1:18" x14ac:dyDescent="0.25">
      <c r="P152" s="62"/>
      <c r="Q152" s="62"/>
      <c r="R152" s="62"/>
    </row>
    <row r="153" spans="1:18" x14ac:dyDescent="0.25">
      <c r="P153" s="62"/>
      <c r="Q153" s="62"/>
      <c r="R153" s="62"/>
    </row>
    <row r="154" spans="1:18" x14ac:dyDescent="0.25">
      <c r="P154" s="62"/>
      <c r="Q154" s="62"/>
      <c r="R154" s="62"/>
    </row>
    <row r="155" spans="1:18" x14ac:dyDescent="0.25">
      <c r="P155" s="62"/>
      <c r="Q155" s="62"/>
      <c r="R155" s="62"/>
    </row>
    <row r="156" spans="1:18" x14ac:dyDescent="0.25">
      <c r="P156" s="62"/>
      <c r="Q156" s="62"/>
      <c r="R156" s="62"/>
    </row>
    <row r="157" spans="1:18" x14ac:dyDescent="0.25">
      <c r="P157" s="62"/>
      <c r="Q157" s="62"/>
      <c r="R157" s="62"/>
    </row>
    <row r="158" spans="1:18" x14ac:dyDescent="0.25">
      <c r="P158" s="62"/>
      <c r="Q158" s="62"/>
      <c r="R158" s="62"/>
    </row>
    <row r="159" spans="1:18" x14ac:dyDescent="0.25">
      <c r="P159" s="62"/>
      <c r="Q159" s="62"/>
      <c r="R159" s="62"/>
    </row>
    <row r="160" spans="1:18" x14ac:dyDescent="0.25">
      <c r="P160" s="62"/>
      <c r="Q160" s="62"/>
      <c r="R160" s="62"/>
    </row>
    <row r="161" spans="16:18" x14ac:dyDescent="0.25">
      <c r="P161" s="62"/>
      <c r="Q161" s="62"/>
      <c r="R161" s="62"/>
    </row>
    <row r="162" spans="16:18" x14ac:dyDescent="0.25">
      <c r="P162" s="62"/>
      <c r="Q162" s="62"/>
      <c r="R162" s="62"/>
    </row>
    <row r="163" spans="16:18" x14ac:dyDescent="0.25">
      <c r="P163" s="62"/>
      <c r="Q163" s="62"/>
      <c r="R163" s="62"/>
    </row>
    <row r="164" spans="16:18" x14ac:dyDescent="0.25">
      <c r="P164" s="62"/>
      <c r="Q164" s="62"/>
      <c r="R164" s="62"/>
    </row>
    <row r="165" spans="16:18" x14ac:dyDescent="0.25">
      <c r="P165" s="62"/>
      <c r="Q165" s="62"/>
      <c r="R165" s="62"/>
    </row>
    <row r="166" spans="16:18" x14ac:dyDescent="0.25">
      <c r="P166" s="62"/>
      <c r="Q166" s="62"/>
      <c r="R166" s="62"/>
    </row>
    <row r="167" spans="16:18" x14ac:dyDescent="0.25">
      <c r="P167" s="62"/>
      <c r="Q167" s="62"/>
      <c r="R167" s="62"/>
    </row>
    <row r="168" spans="16:18" x14ac:dyDescent="0.25">
      <c r="P168" s="62"/>
      <c r="Q168" s="62"/>
      <c r="R168" s="62"/>
    </row>
    <row r="169" spans="16:18" x14ac:dyDescent="0.25">
      <c r="P169" s="62"/>
      <c r="Q169" s="62"/>
      <c r="R169" s="62"/>
    </row>
    <row r="170" spans="16:18" x14ac:dyDescent="0.25">
      <c r="P170" s="62"/>
      <c r="Q170" s="62"/>
      <c r="R170" s="62"/>
    </row>
    <row r="171" spans="16:18" x14ac:dyDescent="0.25">
      <c r="P171" s="62"/>
      <c r="Q171" s="62"/>
      <c r="R171" s="62"/>
    </row>
    <row r="172" spans="16:18" x14ac:dyDescent="0.25">
      <c r="P172" s="62"/>
      <c r="Q172" s="62"/>
      <c r="R172" s="62"/>
    </row>
    <row r="173" spans="16:18" x14ac:dyDescent="0.25">
      <c r="P173" s="62"/>
      <c r="Q173" s="62"/>
      <c r="R173" s="62"/>
    </row>
    <row r="174" spans="16:18" x14ac:dyDescent="0.25">
      <c r="P174" s="62"/>
      <c r="Q174" s="62"/>
      <c r="R174" s="62"/>
    </row>
    <row r="175" spans="16:18" x14ac:dyDescent="0.25">
      <c r="P175" s="62"/>
      <c r="Q175" s="62"/>
      <c r="R175" s="62"/>
    </row>
    <row r="176" spans="16:18" x14ac:dyDescent="0.25">
      <c r="P176" s="62"/>
      <c r="Q176" s="62"/>
      <c r="R176" s="62"/>
    </row>
    <row r="177" spans="16:18" x14ac:dyDescent="0.25">
      <c r="P177" s="62"/>
      <c r="Q177" s="62"/>
      <c r="R177" s="62"/>
    </row>
    <row r="178" spans="16:18" x14ac:dyDescent="0.25">
      <c r="P178" s="62"/>
      <c r="Q178" s="62"/>
      <c r="R178" s="62"/>
    </row>
    <row r="179" spans="16:18" x14ac:dyDescent="0.25">
      <c r="P179" s="62"/>
      <c r="Q179" s="62"/>
      <c r="R179" s="62"/>
    </row>
    <row r="180" spans="16:18" x14ac:dyDescent="0.25">
      <c r="P180" s="62"/>
      <c r="Q180" s="62"/>
      <c r="R180" s="62"/>
    </row>
    <row r="181" spans="16:18" x14ac:dyDescent="0.25">
      <c r="P181" s="62"/>
      <c r="Q181" s="62"/>
      <c r="R181" s="62"/>
    </row>
    <row r="182" spans="16:18" x14ac:dyDescent="0.25">
      <c r="P182" s="62"/>
      <c r="Q182" s="62"/>
      <c r="R182" s="62"/>
    </row>
    <row r="183" spans="16:18" x14ac:dyDescent="0.25">
      <c r="P183" s="62"/>
      <c r="Q183" s="62"/>
      <c r="R183" s="62"/>
    </row>
    <row r="184" spans="16:18" x14ac:dyDescent="0.25">
      <c r="P184" s="62"/>
      <c r="Q184" s="62"/>
      <c r="R184" s="62"/>
    </row>
    <row r="185" spans="16:18" x14ac:dyDescent="0.25">
      <c r="P185" s="62"/>
      <c r="Q185" s="62"/>
      <c r="R185" s="62"/>
    </row>
    <row r="186" spans="16:18" x14ac:dyDescent="0.25">
      <c r="P186" s="62"/>
      <c r="Q186" s="62"/>
      <c r="R186" s="62"/>
    </row>
    <row r="187" spans="16:18" x14ac:dyDescent="0.25">
      <c r="P187" s="62"/>
      <c r="Q187" s="62"/>
      <c r="R187" s="62"/>
    </row>
    <row r="188" spans="16:18" x14ac:dyDescent="0.25">
      <c r="P188" s="62"/>
      <c r="Q188" s="62"/>
      <c r="R188" s="62"/>
    </row>
    <row r="189" spans="16:18" x14ac:dyDescent="0.25">
      <c r="P189" s="62"/>
      <c r="Q189" s="62"/>
      <c r="R189" s="62"/>
    </row>
    <row r="190" spans="16:18" x14ac:dyDescent="0.25">
      <c r="P190" s="62"/>
      <c r="Q190" s="62"/>
      <c r="R190" s="62"/>
    </row>
    <row r="191" spans="16:18" x14ac:dyDescent="0.25">
      <c r="P191" s="62"/>
      <c r="Q191" s="62"/>
      <c r="R191" s="62"/>
    </row>
    <row r="192" spans="16:18" x14ac:dyDescent="0.25">
      <c r="P192" s="62"/>
      <c r="Q192" s="62"/>
      <c r="R192" s="62"/>
    </row>
    <row r="193" spans="16:18" x14ac:dyDescent="0.25">
      <c r="P193" s="62"/>
      <c r="Q193" s="62"/>
      <c r="R193" s="62"/>
    </row>
    <row r="194" spans="16:18" x14ac:dyDescent="0.25">
      <c r="P194" s="62"/>
      <c r="Q194" s="62"/>
      <c r="R194" s="62"/>
    </row>
    <row r="195" spans="16:18" x14ac:dyDescent="0.25">
      <c r="P195" s="62"/>
      <c r="Q195" s="62"/>
      <c r="R195" s="62"/>
    </row>
    <row r="196" spans="16:18" x14ac:dyDescent="0.25">
      <c r="P196" s="62"/>
      <c r="Q196" s="62"/>
      <c r="R196" s="62"/>
    </row>
    <row r="197" spans="16:18" x14ac:dyDescent="0.25">
      <c r="P197" s="62"/>
      <c r="Q197" s="62"/>
      <c r="R197" s="62"/>
    </row>
    <row r="198" spans="16:18" x14ac:dyDescent="0.25">
      <c r="P198" s="62"/>
      <c r="Q198" s="62"/>
      <c r="R198" s="62"/>
    </row>
    <row r="199" spans="16:18" x14ac:dyDescent="0.25">
      <c r="P199" s="62"/>
      <c r="Q199" s="62"/>
      <c r="R199" s="62"/>
    </row>
    <row r="200" spans="16:18" x14ac:dyDescent="0.25">
      <c r="P200" s="62"/>
      <c r="Q200" s="62"/>
      <c r="R200" s="62"/>
    </row>
    <row r="201" spans="16:18" x14ac:dyDescent="0.25">
      <c r="P201" s="62"/>
      <c r="Q201" s="62"/>
      <c r="R201" s="62"/>
    </row>
    <row r="202" spans="16:18" x14ac:dyDescent="0.25">
      <c r="P202" s="62"/>
      <c r="Q202" s="62"/>
      <c r="R202" s="62"/>
    </row>
    <row r="203" spans="16:18" x14ac:dyDescent="0.25">
      <c r="P203" s="62"/>
      <c r="Q203" s="62"/>
      <c r="R203" s="62"/>
    </row>
    <row r="204" spans="16:18" x14ac:dyDescent="0.25">
      <c r="P204" s="62"/>
      <c r="Q204" s="62"/>
      <c r="R204" s="62"/>
    </row>
    <row r="205" spans="16:18" x14ac:dyDescent="0.25">
      <c r="P205" s="62"/>
      <c r="Q205" s="62"/>
      <c r="R205" s="62"/>
    </row>
    <row r="206" spans="16:18" x14ac:dyDescent="0.25">
      <c r="P206" s="62"/>
      <c r="Q206" s="62"/>
      <c r="R206" s="62"/>
    </row>
    <row r="207" spans="16:18" x14ac:dyDescent="0.25">
      <c r="P207" s="62"/>
      <c r="Q207" s="62"/>
      <c r="R207" s="62"/>
    </row>
    <row r="208" spans="16:18" x14ac:dyDescent="0.25">
      <c r="P208" s="62"/>
      <c r="Q208" s="62"/>
      <c r="R208" s="62"/>
    </row>
    <row r="209" spans="16:18" x14ac:dyDescent="0.25">
      <c r="P209" s="62"/>
      <c r="Q209" s="62"/>
      <c r="R209" s="62"/>
    </row>
    <row r="210" spans="16:18" x14ac:dyDescent="0.25">
      <c r="P210" s="62"/>
      <c r="Q210" s="62"/>
      <c r="R210" s="62"/>
    </row>
    <row r="211" spans="16:18" x14ac:dyDescent="0.25">
      <c r="P211" s="62"/>
      <c r="Q211" s="62"/>
      <c r="R211" s="62"/>
    </row>
    <row r="212" spans="16:18" x14ac:dyDescent="0.25">
      <c r="P212" s="62"/>
      <c r="Q212" s="62"/>
      <c r="R212" s="62"/>
    </row>
    <row r="213" spans="16:18" x14ac:dyDescent="0.25">
      <c r="P213" s="62"/>
      <c r="Q213" s="62"/>
      <c r="R213" s="62"/>
    </row>
    <row r="214" spans="16:18" x14ac:dyDescent="0.25">
      <c r="P214" s="62"/>
      <c r="Q214" s="62"/>
      <c r="R214" s="62"/>
    </row>
    <row r="215" spans="16:18" x14ac:dyDescent="0.25">
      <c r="P215" s="62"/>
      <c r="Q215" s="62"/>
      <c r="R215" s="62"/>
    </row>
    <row r="216" spans="16:18" x14ac:dyDescent="0.25">
      <c r="P216" s="62"/>
      <c r="Q216" s="62"/>
      <c r="R216" s="62"/>
    </row>
    <row r="217" spans="16:18" x14ac:dyDescent="0.25">
      <c r="P217" s="62"/>
      <c r="Q217" s="62"/>
      <c r="R217" s="62"/>
    </row>
    <row r="218" spans="16:18" x14ac:dyDescent="0.25">
      <c r="P218" s="62"/>
      <c r="Q218" s="62"/>
      <c r="R218" s="62"/>
    </row>
    <row r="219" spans="16:18" x14ac:dyDescent="0.25">
      <c r="P219" s="62"/>
      <c r="Q219" s="62"/>
      <c r="R219" s="62"/>
    </row>
    <row r="220" spans="16:18" x14ac:dyDescent="0.25">
      <c r="P220" s="62"/>
      <c r="Q220" s="62"/>
      <c r="R220" s="62"/>
    </row>
    <row r="221" spans="16:18" x14ac:dyDescent="0.25">
      <c r="P221" s="62"/>
      <c r="Q221" s="62"/>
      <c r="R221" s="62"/>
    </row>
    <row r="222" spans="16:18" x14ac:dyDescent="0.25">
      <c r="P222" s="62"/>
      <c r="Q222" s="62"/>
      <c r="R222" s="62"/>
    </row>
    <row r="223" spans="16:18" x14ac:dyDescent="0.25">
      <c r="P223" s="62"/>
      <c r="Q223" s="62"/>
      <c r="R223" s="62"/>
    </row>
    <row r="224" spans="16:18" x14ac:dyDescent="0.25">
      <c r="P224" s="62"/>
      <c r="Q224" s="62"/>
      <c r="R224" s="62"/>
    </row>
    <row r="225" spans="16:18" x14ac:dyDescent="0.25">
      <c r="P225" s="62"/>
      <c r="Q225" s="62"/>
      <c r="R225" s="62"/>
    </row>
    <row r="226" spans="16:18" x14ac:dyDescent="0.25">
      <c r="P226" s="62"/>
      <c r="Q226" s="62"/>
      <c r="R226" s="62"/>
    </row>
    <row r="227" spans="16:18" x14ac:dyDescent="0.25">
      <c r="P227" s="62"/>
      <c r="Q227" s="62"/>
      <c r="R227" s="62"/>
    </row>
    <row r="228" spans="16:18" x14ac:dyDescent="0.25">
      <c r="P228" s="62"/>
      <c r="Q228" s="62"/>
      <c r="R228" s="62"/>
    </row>
    <row r="229" spans="16:18" x14ac:dyDescent="0.25">
      <c r="P229" s="62"/>
      <c r="Q229" s="62"/>
      <c r="R229" s="62"/>
    </row>
    <row r="230" spans="16:18" x14ac:dyDescent="0.25">
      <c r="P230" s="62"/>
      <c r="Q230" s="62"/>
      <c r="R230" s="62"/>
    </row>
    <row r="231" spans="16:18" x14ac:dyDescent="0.25">
      <c r="P231" s="62"/>
      <c r="Q231" s="62"/>
      <c r="R231" s="62"/>
    </row>
    <row r="232" spans="16:18" x14ac:dyDescent="0.25">
      <c r="P232" s="62"/>
      <c r="Q232" s="62"/>
      <c r="R232" s="62"/>
    </row>
    <row r="233" spans="16:18" x14ac:dyDescent="0.25">
      <c r="P233" s="62"/>
      <c r="Q233" s="62"/>
      <c r="R233" s="62"/>
    </row>
    <row r="234" spans="16:18" x14ac:dyDescent="0.25">
      <c r="P234" s="62"/>
      <c r="Q234" s="62"/>
      <c r="R234" s="62"/>
    </row>
    <row r="235" spans="16:18" x14ac:dyDescent="0.25">
      <c r="P235" s="62"/>
      <c r="Q235" s="62"/>
      <c r="R235" s="62"/>
    </row>
    <row r="236" spans="16:18" x14ac:dyDescent="0.25">
      <c r="P236" s="62"/>
      <c r="Q236" s="62"/>
      <c r="R236" s="62"/>
    </row>
    <row r="237" spans="16:18" x14ac:dyDescent="0.25">
      <c r="P237" s="62"/>
      <c r="Q237" s="62"/>
      <c r="R237" s="62"/>
    </row>
    <row r="238" spans="16:18" x14ac:dyDescent="0.25">
      <c r="P238" s="62"/>
      <c r="Q238" s="62"/>
      <c r="R238" s="62"/>
    </row>
    <row r="239" spans="16:18" x14ac:dyDescent="0.25">
      <c r="P239" s="62"/>
      <c r="Q239" s="62"/>
      <c r="R239" s="62"/>
    </row>
    <row r="240" spans="16:18" x14ac:dyDescent="0.25">
      <c r="P240" s="62"/>
      <c r="Q240" s="62"/>
      <c r="R240" s="62"/>
    </row>
    <row r="241" spans="16:18" x14ac:dyDescent="0.25">
      <c r="P241" s="62"/>
      <c r="Q241" s="62"/>
      <c r="R241" s="62"/>
    </row>
    <row r="242" spans="16:18" x14ac:dyDescent="0.25">
      <c r="P242" s="62"/>
      <c r="Q242" s="62"/>
      <c r="R242" s="62"/>
    </row>
    <row r="243" spans="16:18" x14ac:dyDescent="0.25">
      <c r="P243" s="62"/>
      <c r="Q243" s="62"/>
      <c r="R243" s="62"/>
    </row>
    <row r="244" spans="16:18" x14ac:dyDescent="0.25">
      <c r="P244" s="62"/>
      <c r="Q244" s="62"/>
      <c r="R244" s="62"/>
    </row>
    <row r="245" spans="16:18" x14ac:dyDescent="0.25">
      <c r="P245" s="62"/>
      <c r="Q245" s="62"/>
      <c r="R245" s="62"/>
    </row>
    <row r="246" spans="16:18" x14ac:dyDescent="0.25">
      <c r="P246" s="62"/>
      <c r="Q246" s="62"/>
      <c r="R246" s="62"/>
    </row>
    <row r="247" spans="16:18" x14ac:dyDescent="0.25">
      <c r="P247" s="62"/>
      <c r="Q247" s="62"/>
      <c r="R247" s="62"/>
    </row>
    <row r="248" spans="16:18" x14ac:dyDescent="0.25">
      <c r="P248" s="62"/>
      <c r="Q248" s="62"/>
      <c r="R248" s="62"/>
    </row>
    <row r="249" spans="16:18" x14ac:dyDescent="0.25">
      <c r="P249" s="62"/>
      <c r="Q249" s="62"/>
      <c r="R249" s="62"/>
    </row>
    <row r="250" spans="16:18" x14ac:dyDescent="0.25">
      <c r="P250" s="62"/>
      <c r="Q250" s="62"/>
      <c r="R250" s="62"/>
    </row>
    <row r="251" spans="16:18" x14ac:dyDescent="0.25">
      <c r="P251" s="62"/>
      <c r="Q251" s="62"/>
      <c r="R251" s="62"/>
    </row>
    <row r="252" spans="16:18" x14ac:dyDescent="0.25">
      <c r="P252" s="62"/>
      <c r="Q252" s="62"/>
      <c r="R252" s="62"/>
    </row>
    <row r="253" spans="16:18" x14ac:dyDescent="0.25">
      <c r="P253" s="62"/>
      <c r="Q253" s="62"/>
      <c r="R253" s="62"/>
    </row>
    <row r="254" spans="16:18" x14ac:dyDescent="0.25">
      <c r="P254" s="62"/>
      <c r="Q254" s="62"/>
      <c r="R254" s="62"/>
    </row>
    <row r="255" spans="16:18" x14ac:dyDescent="0.25">
      <c r="P255" s="62"/>
      <c r="Q255" s="62"/>
      <c r="R255" s="62"/>
    </row>
    <row r="256" spans="16:18" x14ac:dyDescent="0.25">
      <c r="P256" s="62"/>
      <c r="Q256" s="62"/>
      <c r="R256" s="62"/>
    </row>
    <row r="257" spans="16:18" x14ac:dyDescent="0.25">
      <c r="P257" s="62"/>
      <c r="Q257" s="62"/>
      <c r="R257" s="62"/>
    </row>
    <row r="258" spans="16:18" x14ac:dyDescent="0.25">
      <c r="P258" s="62"/>
      <c r="Q258" s="62"/>
      <c r="R258" s="62"/>
    </row>
    <row r="259" spans="16:18" x14ac:dyDescent="0.25">
      <c r="P259" s="62"/>
      <c r="Q259" s="62"/>
      <c r="R259" s="62"/>
    </row>
    <row r="260" spans="16:18" x14ac:dyDescent="0.25">
      <c r="P260" s="62"/>
      <c r="Q260" s="62"/>
      <c r="R260" s="62"/>
    </row>
    <row r="261" spans="16:18" x14ac:dyDescent="0.25">
      <c r="P261" s="62"/>
      <c r="Q261" s="62"/>
      <c r="R261" s="62"/>
    </row>
    <row r="262" spans="16:18" x14ac:dyDescent="0.25">
      <c r="P262" s="62"/>
      <c r="Q262" s="62"/>
      <c r="R262" s="62"/>
    </row>
    <row r="263" spans="16:18" x14ac:dyDescent="0.25">
      <c r="P263" s="62"/>
      <c r="Q263" s="62"/>
      <c r="R263" s="62"/>
    </row>
    <row r="264" spans="16:18" x14ac:dyDescent="0.25">
      <c r="P264" s="62"/>
      <c r="Q264" s="62"/>
      <c r="R264" s="62"/>
    </row>
    <row r="265" spans="16:18" x14ac:dyDescent="0.25">
      <c r="P265" s="62"/>
      <c r="Q265" s="62"/>
      <c r="R265" s="62"/>
    </row>
    <row r="266" spans="16:18" x14ac:dyDescent="0.25">
      <c r="P266" s="62"/>
      <c r="Q266" s="62"/>
      <c r="R266" s="62"/>
    </row>
    <row r="267" spans="16:18" x14ac:dyDescent="0.25">
      <c r="P267" s="62"/>
      <c r="Q267" s="62"/>
      <c r="R267" s="62"/>
    </row>
    <row r="268" spans="16:18" x14ac:dyDescent="0.25">
      <c r="P268" s="62"/>
      <c r="Q268" s="62"/>
      <c r="R268" s="62"/>
    </row>
    <row r="269" spans="16:18" x14ac:dyDescent="0.25">
      <c r="P269" s="62"/>
      <c r="Q269" s="62"/>
      <c r="R269" s="62"/>
    </row>
    <row r="270" spans="16:18" x14ac:dyDescent="0.25">
      <c r="P270" s="62"/>
      <c r="Q270" s="62"/>
      <c r="R270" s="62"/>
    </row>
    <row r="271" spans="16:18" x14ac:dyDescent="0.25">
      <c r="P271" s="62"/>
      <c r="Q271" s="62"/>
      <c r="R271" s="62"/>
    </row>
    <row r="272" spans="16:18" x14ac:dyDescent="0.25">
      <c r="P272" s="62"/>
      <c r="Q272" s="62"/>
      <c r="R272" s="62"/>
    </row>
    <row r="273" spans="16:18" x14ac:dyDescent="0.25">
      <c r="P273" s="62"/>
      <c r="Q273" s="62"/>
      <c r="R273" s="62"/>
    </row>
    <row r="274" spans="16:18" x14ac:dyDescent="0.25">
      <c r="P274" s="62"/>
      <c r="Q274" s="62"/>
      <c r="R274" s="62"/>
    </row>
    <row r="275" spans="16:18" x14ac:dyDescent="0.25">
      <c r="P275" s="62"/>
      <c r="Q275" s="62"/>
      <c r="R275" s="62"/>
    </row>
    <row r="276" spans="16:18" x14ac:dyDescent="0.25">
      <c r="P276" s="62"/>
      <c r="Q276" s="62"/>
      <c r="R276" s="62"/>
    </row>
    <row r="277" spans="16:18" x14ac:dyDescent="0.25">
      <c r="P277" s="62"/>
      <c r="Q277" s="62"/>
      <c r="R277" s="62"/>
    </row>
    <row r="278" spans="16:18" x14ac:dyDescent="0.25">
      <c r="P278" s="62"/>
      <c r="Q278" s="62"/>
      <c r="R278" s="62"/>
    </row>
    <row r="279" spans="16:18" x14ac:dyDescent="0.25">
      <c r="P279" s="62"/>
      <c r="Q279" s="62"/>
      <c r="R279" s="62"/>
    </row>
    <row r="280" spans="16:18" x14ac:dyDescent="0.25">
      <c r="P280" s="62"/>
      <c r="Q280" s="62"/>
      <c r="R280" s="62"/>
    </row>
    <row r="281" spans="16:18" x14ac:dyDescent="0.25">
      <c r="P281" s="62"/>
      <c r="Q281" s="62"/>
      <c r="R281" s="62"/>
    </row>
    <row r="282" spans="16:18" x14ac:dyDescent="0.25">
      <c r="P282" s="62"/>
      <c r="Q282" s="62"/>
      <c r="R282" s="62"/>
    </row>
    <row r="283" spans="16:18" x14ac:dyDescent="0.25">
      <c r="P283" s="62"/>
      <c r="Q283" s="62"/>
      <c r="R283" s="62"/>
    </row>
    <row r="284" spans="16:18" x14ac:dyDescent="0.25">
      <c r="P284" s="62"/>
      <c r="Q284" s="62"/>
      <c r="R284" s="62"/>
    </row>
    <row r="285" spans="16:18" x14ac:dyDescent="0.25">
      <c r="P285" s="62"/>
      <c r="Q285" s="62"/>
      <c r="R285" s="62"/>
    </row>
    <row r="286" spans="16:18" x14ac:dyDescent="0.25">
      <c r="P286" s="62"/>
      <c r="Q286" s="62"/>
      <c r="R286" s="62"/>
    </row>
    <row r="287" spans="16:18" x14ac:dyDescent="0.25">
      <c r="P287" s="62"/>
      <c r="Q287" s="62"/>
      <c r="R287" s="62"/>
    </row>
    <row r="288" spans="16:18" x14ac:dyDescent="0.25">
      <c r="P288" s="62"/>
      <c r="Q288" s="62"/>
      <c r="R288" s="62"/>
    </row>
    <row r="289" spans="16:18" x14ac:dyDescent="0.25">
      <c r="P289" s="62"/>
      <c r="Q289" s="62"/>
      <c r="R289" s="62"/>
    </row>
    <row r="290" spans="16:18" x14ac:dyDescent="0.25">
      <c r="P290" s="62"/>
      <c r="Q290" s="62"/>
      <c r="R290" s="62"/>
    </row>
    <row r="291" spans="16:18" x14ac:dyDescent="0.25">
      <c r="P291" s="62"/>
      <c r="Q291" s="62"/>
      <c r="R291" s="62"/>
    </row>
    <row r="292" spans="16:18" x14ac:dyDescent="0.25">
      <c r="P292" s="62"/>
      <c r="Q292" s="62"/>
      <c r="R292" s="62"/>
    </row>
    <row r="293" spans="16:18" x14ac:dyDescent="0.25">
      <c r="P293" s="62"/>
      <c r="Q293" s="62"/>
      <c r="R293" s="62"/>
    </row>
    <row r="294" spans="16:18" x14ac:dyDescent="0.25">
      <c r="P294" s="62"/>
      <c r="Q294" s="62"/>
      <c r="R294" s="62"/>
    </row>
    <row r="295" spans="16:18" x14ac:dyDescent="0.25">
      <c r="P295" s="62"/>
      <c r="Q295" s="62"/>
      <c r="R295" s="62"/>
    </row>
    <row r="296" spans="16:18" x14ac:dyDescent="0.25">
      <c r="P296" s="62"/>
      <c r="Q296" s="62"/>
      <c r="R296" s="62"/>
    </row>
    <row r="297" spans="16:18" x14ac:dyDescent="0.25">
      <c r="P297" s="62"/>
      <c r="Q297" s="62"/>
      <c r="R297" s="62"/>
    </row>
    <row r="298" spans="16:18" x14ac:dyDescent="0.25">
      <c r="P298" s="62"/>
      <c r="Q298" s="62"/>
      <c r="R298" s="62"/>
    </row>
    <row r="299" spans="16:18" x14ac:dyDescent="0.25">
      <c r="P299" s="62"/>
      <c r="Q299" s="62"/>
      <c r="R299" s="62"/>
    </row>
    <row r="300" spans="16:18" x14ac:dyDescent="0.25">
      <c r="P300" s="62"/>
      <c r="Q300" s="62"/>
      <c r="R300" s="62"/>
    </row>
    <row r="301" spans="16:18" x14ac:dyDescent="0.25">
      <c r="P301" s="62"/>
      <c r="Q301" s="62"/>
      <c r="R301" s="62"/>
    </row>
    <row r="302" spans="16:18" x14ac:dyDescent="0.25">
      <c r="P302" s="62"/>
      <c r="Q302" s="62"/>
      <c r="R302" s="62"/>
    </row>
    <row r="303" spans="16:18" x14ac:dyDescent="0.25">
      <c r="P303" s="62"/>
      <c r="Q303" s="62"/>
      <c r="R303" s="62"/>
    </row>
    <row r="304" spans="16:18" x14ac:dyDescent="0.25">
      <c r="P304" s="62"/>
      <c r="Q304" s="62"/>
      <c r="R304" s="62"/>
    </row>
    <row r="305" spans="16:18" x14ac:dyDescent="0.25">
      <c r="P305" s="62"/>
      <c r="Q305" s="62"/>
      <c r="R305" s="62"/>
    </row>
    <row r="306" spans="16:18" x14ac:dyDescent="0.25">
      <c r="P306" s="62"/>
      <c r="Q306" s="62"/>
      <c r="R306" s="62"/>
    </row>
    <row r="307" spans="16:18" x14ac:dyDescent="0.25">
      <c r="P307" s="62"/>
      <c r="Q307" s="62"/>
      <c r="R307" s="62"/>
    </row>
    <row r="308" spans="16:18" x14ac:dyDescent="0.25">
      <c r="P308" s="62"/>
      <c r="Q308" s="62"/>
      <c r="R308" s="62"/>
    </row>
    <row r="309" spans="16:18" x14ac:dyDescent="0.25">
      <c r="P309" s="62"/>
      <c r="Q309" s="62"/>
      <c r="R309" s="62"/>
    </row>
    <row r="310" spans="16:18" x14ac:dyDescent="0.25">
      <c r="P310" s="62"/>
      <c r="Q310" s="62"/>
      <c r="R310" s="62"/>
    </row>
    <row r="311" spans="16:18" x14ac:dyDescent="0.25">
      <c r="P311" s="62"/>
      <c r="Q311" s="62"/>
      <c r="R311" s="62"/>
    </row>
    <row r="312" spans="16:18" x14ac:dyDescent="0.25">
      <c r="P312" s="62"/>
      <c r="Q312" s="62"/>
      <c r="R312" s="62"/>
    </row>
    <row r="313" spans="16:18" x14ac:dyDescent="0.25">
      <c r="P313" s="62"/>
      <c r="Q313" s="62"/>
      <c r="R313" s="62"/>
    </row>
    <row r="314" spans="16:18" x14ac:dyDescent="0.25">
      <c r="P314" s="62"/>
      <c r="Q314" s="62"/>
      <c r="R314" s="62"/>
    </row>
    <row r="315" spans="16:18" x14ac:dyDescent="0.25">
      <c r="P315" s="62"/>
      <c r="Q315" s="62"/>
      <c r="R315" s="62"/>
    </row>
    <row r="316" spans="16:18" x14ac:dyDescent="0.25">
      <c r="P316" s="62"/>
      <c r="Q316" s="62"/>
      <c r="R316" s="62"/>
    </row>
    <row r="317" spans="16:18" x14ac:dyDescent="0.25">
      <c r="P317" s="62"/>
      <c r="Q317" s="62"/>
      <c r="R317" s="62"/>
    </row>
    <row r="318" spans="16:18" x14ac:dyDescent="0.25">
      <c r="P318" s="62"/>
      <c r="Q318" s="62"/>
      <c r="R318" s="62"/>
    </row>
    <row r="319" spans="16:18" x14ac:dyDescent="0.25">
      <c r="P319" s="62"/>
      <c r="Q319" s="62"/>
      <c r="R319" s="62"/>
    </row>
    <row r="320" spans="16:18" x14ac:dyDescent="0.25">
      <c r="P320" s="62"/>
      <c r="Q320" s="62"/>
      <c r="R320" s="62"/>
    </row>
    <row r="321" spans="16:18" x14ac:dyDescent="0.25">
      <c r="P321" s="62"/>
      <c r="Q321" s="62"/>
      <c r="R321" s="62"/>
    </row>
    <row r="322" spans="16:18" x14ac:dyDescent="0.25">
      <c r="P322" s="62"/>
      <c r="Q322" s="62"/>
      <c r="R322" s="62"/>
    </row>
    <row r="323" spans="16:18" x14ac:dyDescent="0.25">
      <c r="P323" s="62"/>
      <c r="Q323" s="62"/>
      <c r="R323" s="62"/>
    </row>
    <row r="324" spans="16:18" x14ac:dyDescent="0.25">
      <c r="P324" s="62"/>
      <c r="Q324" s="62"/>
      <c r="R324" s="62"/>
    </row>
    <row r="325" spans="16:18" x14ac:dyDescent="0.25">
      <c r="P325" s="62"/>
      <c r="Q325" s="62"/>
      <c r="R325" s="62"/>
    </row>
    <row r="326" spans="16:18" x14ac:dyDescent="0.25">
      <c r="P326" s="62"/>
      <c r="Q326" s="62"/>
      <c r="R326" s="62"/>
    </row>
    <row r="327" spans="16:18" x14ac:dyDescent="0.25">
      <c r="P327" s="62"/>
      <c r="Q327" s="62"/>
      <c r="R327" s="62"/>
    </row>
    <row r="328" spans="16:18" x14ac:dyDescent="0.25">
      <c r="P328" s="62"/>
      <c r="Q328" s="62"/>
      <c r="R328" s="62"/>
    </row>
    <row r="329" spans="16:18" x14ac:dyDescent="0.25">
      <c r="P329" s="62"/>
      <c r="Q329" s="62"/>
      <c r="R329" s="62"/>
    </row>
    <row r="330" spans="16:18" x14ac:dyDescent="0.25">
      <c r="P330" s="62"/>
      <c r="Q330" s="62"/>
      <c r="R330" s="62"/>
    </row>
    <row r="331" spans="16:18" x14ac:dyDescent="0.25">
      <c r="P331" s="62"/>
      <c r="Q331" s="62"/>
      <c r="R331" s="62"/>
    </row>
    <row r="332" spans="16:18" x14ac:dyDescent="0.25">
      <c r="P332" s="62"/>
      <c r="Q332" s="62"/>
      <c r="R332" s="62"/>
    </row>
    <row r="333" spans="16:18" x14ac:dyDescent="0.25">
      <c r="P333" s="62"/>
      <c r="Q333" s="62"/>
      <c r="R333" s="62"/>
    </row>
    <row r="334" spans="16:18" x14ac:dyDescent="0.25">
      <c r="P334" s="62"/>
      <c r="Q334" s="62"/>
      <c r="R334" s="62"/>
    </row>
    <row r="335" spans="16:18" x14ac:dyDescent="0.25">
      <c r="P335" s="62"/>
      <c r="Q335" s="62"/>
      <c r="R335" s="62"/>
    </row>
    <row r="336" spans="16:18" x14ac:dyDescent="0.25">
      <c r="P336" s="62"/>
      <c r="Q336" s="62"/>
      <c r="R336" s="62"/>
    </row>
    <row r="337" spans="16:18" x14ac:dyDescent="0.25">
      <c r="P337" s="62"/>
      <c r="Q337" s="62"/>
      <c r="R337" s="62"/>
    </row>
    <row r="338" spans="16:18" x14ac:dyDescent="0.25">
      <c r="P338" s="62"/>
      <c r="Q338" s="62"/>
      <c r="R338" s="62"/>
    </row>
    <row r="339" spans="16:18" x14ac:dyDescent="0.25">
      <c r="P339" s="62"/>
      <c r="Q339" s="62"/>
      <c r="R339" s="62"/>
    </row>
    <row r="340" spans="16:18" x14ac:dyDescent="0.25">
      <c r="P340" s="62"/>
      <c r="Q340" s="62"/>
      <c r="R340" s="62"/>
    </row>
    <row r="341" spans="16:18" x14ac:dyDescent="0.25">
      <c r="P341" s="62"/>
      <c r="Q341" s="62"/>
      <c r="R341" s="62"/>
    </row>
    <row r="342" spans="16:18" x14ac:dyDescent="0.25">
      <c r="P342" s="62"/>
      <c r="Q342" s="62"/>
      <c r="R342" s="62"/>
    </row>
    <row r="343" spans="16:18" x14ac:dyDescent="0.25">
      <c r="P343" s="62"/>
      <c r="Q343" s="62"/>
      <c r="R343" s="62"/>
    </row>
    <row r="344" spans="16:18" x14ac:dyDescent="0.25">
      <c r="P344" s="62"/>
      <c r="Q344" s="62"/>
      <c r="R344" s="62"/>
    </row>
    <row r="345" spans="16:18" x14ac:dyDescent="0.25">
      <c r="P345" s="62"/>
      <c r="Q345" s="62"/>
      <c r="R345" s="62"/>
    </row>
    <row r="346" spans="16:18" x14ac:dyDescent="0.25">
      <c r="P346" s="62"/>
      <c r="Q346" s="62"/>
      <c r="R346" s="62"/>
    </row>
    <row r="347" spans="16:18" x14ac:dyDescent="0.25">
      <c r="P347" s="62"/>
      <c r="Q347" s="62"/>
      <c r="R347" s="62"/>
    </row>
    <row r="348" spans="16:18" x14ac:dyDescent="0.25">
      <c r="P348" s="62"/>
      <c r="Q348" s="62"/>
      <c r="R348" s="62"/>
    </row>
    <row r="349" spans="16:18" x14ac:dyDescent="0.25">
      <c r="P349" s="62"/>
      <c r="Q349" s="62"/>
      <c r="R349" s="62"/>
    </row>
    <row r="350" spans="16:18" x14ac:dyDescent="0.25">
      <c r="P350" s="62"/>
      <c r="Q350" s="62"/>
      <c r="R350" s="62"/>
    </row>
    <row r="351" spans="16:18" x14ac:dyDescent="0.25">
      <c r="P351" s="62"/>
      <c r="Q351" s="62"/>
      <c r="R351" s="62"/>
    </row>
    <row r="352" spans="16:18" x14ac:dyDescent="0.25">
      <c r="P352" s="62"/>
      <c r="Q352" s="62"/>
      <c r="R352" s="62"/>
    </row>
    <row r="353" spans="16:18" x14ac:dyDescent="0.25">
      <c r="P353" s="62"/>
      <c r="Q353" s="62"/>
      <c r="R353" s="62"/>
    </row>
    <row r="354" spans="16:18" x14ac:dyDescent="0.25">
      <c r="P354" s="62"/>
      <c r="Q354" s="62"/>
      <c r="R354" s="62"/>
    </row>
    <row r="355" spans="16:18" x14ac:dyDescent="0.25">
      <c r="P355" s="62"/>
      <c r="Q355" s="62"/>
      <c r="R355" s="62"/>
    </row>
    <row r="356" spans="16:18" x14ac:dyDescent="0.25">
      <c r="P356" s="62"/>
      <c r="Q356" s="62"/>
      <c r="R356" s="62"/>
    </row>
    <row r="357" spans="16:18" x14ac:dyDescent="0.25">
      <c r="P357" s="62"/>
      <c r="Q357" s="62"/>
      <c r="R357" s="62"/>
    </row>
    <row r="358" spans="16:18" x14ac:dyDescent="0.25">
      <c r="P358" s="62"/>
      <c r="Q358" s="62"/>
      <c r="R358" s="62"/>
    </row>
    <row r="359" spans="16:18" x14ac:dyDescent="0.25">
      <c r="P359" s="62"/>
      <c r="Q359" s="62"/>
      <c r="R359" s="62"/>
    </row>
    <row r="360" spans="16:18" x14ac:dyDescent="0.25">
      <c r="P360" s="62"/>
      <c r="Q360" s="62"/>
      <c r="R360" s="62"/>
    </row>
    <row r="361" spans="16:18" x14ac:dyDescent="0.25">
      <c r="P361" s="62"/>
      <c r="Q361" s="62"/>
      <c r="R361" s="62"/>
    </row>
    <row r="362" spans="16:18" x14ac:dyDescent="0.25">
      <c r="P362" s="62"/>
      <c r="Q362" s="62"/>
      <c r="R362" s="62"/>
    </row>
    <row r="363" spans="16:18" x14ac:dyDescent="0.25">
      <c r="P363" s="62"/>
      <c r="Q363" s="62"/>
      <c r="R363" s="62"/>
    </row>
    <row r="364" spans="16:18" x14ac:dyDescent="0.25">
      <c r="P364" s="62"/>
      <c r="Q364" s="62"/>
      <c r="R364" s="62"/>
    </row>
    <row r="365" spans="16:18" x14ac:dyDescent="0.25">
      <c r="P365" s="62"/>
      <c r="Q365" s="62"/>
      <c r="R365" s="62"/>
    </row>
    <row r="366" spans="16:18" x14ac:dyDescent="0.25">
      <c r="P366" s="62"/>
      <c r="Q366" s="62"/>
      <c r="R366" s="62"/>
    </row>
    <row r="367" spans="16:18" x14ac:dyDescent="0.25">
      <c r="P367" s="62"/>
      <c r="Q367" s="62"/>
      <c r="R367" s="62"/>
    </row>
    <row r="368" spans="16:18" x14ac:dyDescent="0.25">
      <c r="P368" s="62"/>
      <c r="Q368" s="62"/>
      <c r="R368" s="62"/>
    </row>
    <row r="369" spans="16:18" x14ac:dyDescent="0.25">
      <c r="P369" s="62"/>
      <c r="Q369" s="62"/>
      <c r="R369" s="62"/>
    </row>
    <row r="370" spans="16:18" x14ac:dyDescent="0.25">
      <c r="P370" s="62"/>
      <c r="Q370" s="62"/>
      <c r="R370" s="62"/>
    </row>
    <row r="371" spans="16:18" x14ac:dyDescent="0.25">
      <c r="P371" s="62"/>
      <c r="Q371" s="62"/>
      <c r="R371" s="62"/>
    </row>
    <row r="372" spans="16:18" x14ac:dyDescent="0.25">
      <c r="P372" s="62"/>
      <c r="Q372" s="62"/>
      <c r="R372" s="62"/>
    </row>
    <row r="373" spans="16:18" x14ac:dyDescent="0.25">
      <c r="P373" s="62"/>
      <c r="Q373" s="62"/>
      <c r="R373" s="62"/>
    </row>
    <row r="374" spans="16:18" x14ac:dyDescent="0.25">
      <c r="P374" s="62"/>
      <c r="Q374" s="62"/>
      <c r="R374" s="62"/>
    </row>
    <row r="375" spans="16:18" x14ac:dyDescent="0.25">
      <c r="P375" s="62"/>
      <c r="Q375" s="62"/>
      <c r="R375" s="62"/>
    </row>
    <row r="376" spans="16:18" x14ac:dyDescent="0.25">
      <c r="P376" s="62"/>
      <c r="Q376" s="62"/>
      <c r="R376" s="62"/>
    </row>
    <row r="377" spans="16:18" x14ac:dyDescent="0.25">
      <c r="P377" s="62"/>
      <c r="Q377" s="62"/>
      <c r="R377" s="62"/>
    </row>
    <row r="378" spans="16:18" x14ac:dyDescent="0.25">
      <c r="P378" s="62"/>
      <c r="Q378" s="62"/>
      <c r="R378" s="62"/>
    </row>
    <row r="379" spans="16:18" x14ac:dyDescent="0.25">
      <c r="P379" s="62"/>
      <c r="Q379" s="62"/>
      <c r="R379" s="62"/>
    </row>
    <row r="380" spans="16:18" x14ac:dyDescent="0.25">
      <c r="P380" s="62"/>
      <c r="Q380" s="62"/>
      <c r="R380" s="62"/>
    </row>
    <row r="381" spans="16:18" x14ac:dyDescent="0.25">
      <c r="P381" s="62"/>
      <c r="Q381" s="62"/>
      <c r="R381" s="62"/>
    </row>
    <row r="382" spans="16:18" x14ac:dyDescent="0.25">
      <c r="P382" s="62"/>
      <c r="Q382" s="62"/>
      <c r="R382" s="62"/>
    </row>
    <row r="383" spans="16:18" x14ac:dyDescent="0.25">
      <c r="P383" s="62"/>
      <c r="Q383" s="62"/>
      <c r="R383" s="62"/>
    </row>
    <row r="384" spans="16:18" x14ac:dyDescent="0.25">
      <c r="P384" s="62"/>
      <c r="Q384" s="62"/>
      <c r="R384" s="62"/>
    </row>
    <row r="385" spans="16:18" x14ac:dyDescent="0.25">
      <c r="P385" s="62"/>
      <c r="Q385" s="62"/>
      <c r="R385" s="62"/>
    </row>
    <row r="386" spans="16:18" x14ac:dyDescent="0.25">
      <c r="P386" s="62"/>
      <c r="Q386" s="62"/>
      <c r="R386" s="62"/>
    </row>
    <row r="387" spans="16:18" x14ac:dyDescent="0.25">
      <c r="P387" s="62"/>
      <c r="Q387" s="62"/>
      <c r="R387" s="62"/>
    </row>
    <row r="388" spans="16:18" x14ac:dyDescent="0.25">
      <c r="P388" s="62"/>
      <c r="Q388" s="62"/>
      <c r="R388" s="62"/>
    </row>
    <row r="389" spans="16:18" x14ac:dyDescent="0.25">
      <c r="P389" s="62"/>
      <c r="Q389" s="62"/>
      <c r="R389" s="62"/>
    </row>
    <row r="390" spans="16:18" x14ac:dyDescent="0.25">
      <c r="P390" s="62"/>
      <c r="Q390" s="62"/>
      <c r="R390" s="62"/>
    </row>
    <row r="391" spans="16:18" x14ac:dyDescent="0.25">
      <c r="P391" s="62"/>
      <c r="Q391" s="62"/>
      <c r="R391" s="62"/>
    </row>
    <row r="392" spans="16:18" x14ac:dyDescent="0.25">
      <c r="P392" s="62"/>
      <c r="Q392" s="62"/>
      <c r="R392" s="62"/>
    </row>
    <row r="393" spans="16:18" x14ac:dyDescent="0.25">
      <c r="P393" s="62"/>
      <c r="Q393" s="62"/>
      <c r="R393" s="62"/>
    </row>
    <row r="394" spans="16:18" x14ac:dyDescent="0.25">
      <c r="P394" s="62"/>
      <c r="Q394" s="62"/>
      <c r="R394" s="62"/>
    </row>
    <row r="395" spans="16:18" x14ac:dyDescent="0.25">
      <c r="P395" s="62"/>
      <c r="Q395" s="62"/>
      <c r="R395" s="62"/>
    </row>
    <row r="396" spans="16:18" x14ac:dyDescent="0.25">
      <c r="P396" s="62"/>
      <c r="Q396" s="62"/>
      <c r="R396" s="62"/>
    </row>
    <row r="397" spans="16:18" x14ac:dyDescent="0.25">
      <c r="P397" s="62"/>
      <c r="Q397" s="62"/>
      <c r="R397" s="62"/>
    </row>
    <row r="398" spans="16:18" x14ac:dyDescent="0.25">
      <c r="P398" s="62"/>
      <c r="Q398" s="62"/>
      <c r="R398" s="62"/>
    </row>
    <row r="399" spans="16:18" x14ac:dyDescent="0.25">
      <c r="P399" s="62"/>
      <c r="Q399" s="62"/>
      <c r="R399" s="62"/>
    </row>
    <row r="400" spans="16:18" x14ac:dyDescent="0.25">
      <c r="P400" s="62"/>
      <c r="Q400" s="62"/>
      <c r="R400" s="62"/>
    </row>
    <row r="401" spans="16:18" x14ac:dyDescent="0.25">
      <c r="P401" s="62"/>
      <c r="Q401" s="62"/>
      <c r="R401" s="62"/>
    </row>
    <row r="402" spans="16:18" x14ac:dyDescent="0.25">
      <c r="P402" s="62"/>
      <c r="Q402" s="62"/>
      <c r="R402" s="62"/>
    </row>
    <row r="403" spans="16:18" x14ac:dyDescent="0.25">
      <c r="P403" s="62"/>
      <c r="Q403" s="62"/>
      <c r="R403" s="62"/>
    </row>
    <row r="404" spans="16:18" x14ac:dyDescent="0.25">
      <c r="P404" s="62"/>
      <c r="Q404" s="62"/>
      <c r="R404" s="62"/>
    </row>
    <row r="405" spans="16:18" x14ac:dyDescent="0.25">
      <c r="P405" s="62"/>
      <c r="Q405" s="62"/>
      <c r="R405" s="62"/>
    </row>
    <row r="406" spans="16:18" x14ac:dyDescent="0.25">
      <c r="P406" s="62"/>
      <c r="Q406" s="62"/>
      <c r="R406" s="62"/>
    </row>
    <row r="407" spans="16:18" x14ac:dyDescent="0.25">
      <c r="P407" s="62"/>
      <c r="Q407" s="62"/>
      <c r="R407" s="62"/>
    </row>
    <row r="408" spans="16:18" x14ac:dyDescent="0.25">
      <c r="P408" s="62"/>
      <c r="Q408" s="62"/>
      <c r="R408" s="62"/>
    </row>
    <row r="409" spans="16:18" x14ac:dyDescent="0.25">
      <c r="P409" s="62"/>
      <c r="Q409" s="62"/>
      <c r="R409" s="62"/>
    </row>
    <row r="410" spans="16:18" x14ac:dyDescent="0.25">
      <c r="P410" s="62"/>
      <c r="Q410" s="62"/>
      <c r="R410" s="62"/>
    </row>
    <row r="411" spans="16:18" x14ac:dyDescent="0.25">
      <c r="P411" s="62"/>
      <c r="Q411" s="62"/>
      <c r="R411" s="62"/>
    </row>
    <row r="412" spans="16:18" x14ac:dyDescent="0.25">
      <c r="P412" s="62"/>
      <c r="Q412" s="62"/>
      <c r="R412" s="62"/>
    </row>
    <row r="413" spans="16:18" x14ac:dyDescent="0.25">
      <c r="P413" s="62"/>
      <c r="Q413" s="62"/>
      <c r="R413" s="62"/>
    </row>
    <row r="414" spans="16:18" x14ac:dyDescent="0.25">
      <c r="P414" s="62"/>
      <c r="Q414" s="62"/>
      <c r="R414" s="62"/>
    </row>
    <row r="415" spans="16:18" x14ac:dyDescent="0.25">
      <c r="P415" s="62"/>
      <c r="Q415" s="62"/>
      <c r="R415" s="62"/>
    </row>
    <row r="416" spans="16:18" x14ac:dyDescent="0.25">
      <c r="P416" s="62"/>
      <c r="Q416" s="62"/>
      <c r="R416" s="62"/>
    </row>
    <row r="417" spans="16:18" x14ac:dyDescent="0.25">
      <c r="P417" s="62"/>
      <c r="Q417" s="62"/>
      <c r="R417" s="62"/>
    </row>
    <row r="418" spans="16:18" x14ac:dyDescent="0.25">
      <c r="P418" s="62"/>
      <c r="Q418" s="62"/>
      <c r="R418" s="62"/>
    </row>
    <row r="419" spans="16:18" x14ac:dyDescent="0.25">
      <c r="P419" s="62"/>
      <c r="Q419" s="62"/>
      <c r="R419" s="62"/>
    </row>
    <row r="420" spans="16:18" x14ac:dyDescent="0.25">
      <c r="P420" s="62"/>
      <c r="Q420" s="62"/>
      <c r="R420" s="62"/>
    </row>
    <row r="421" spans="16:18" x14ac:dyDescent="0.25">
      <c r="P421" s="62"/>
      <c r="Q421" s="62"/>
      <c r="R421" s="62"/>
    </row>
    <row r="422" spans="16:18" x14ac:dyDescent="0.25">
      <c r="P422" s="62"/>
      <c r="Q422" s="62"/>
      <c r="R422" s="62"/>
    </row>
    <row r="423" spans="16:18" x14ac:dyDescent="0.25">
      <c r="P423" s="62"/>
      <c r="Q423" s="62"/>
      <c r="R423" s="62"/>
    </row>
    <row r="424" spans="16:18" x14ac:dyDescent="0.25">
      <c r="P424" s="62"/>
      <c r="Q424" s="62"/>
      <c r="R424" s="62"/>
    </row>
    <row r="425" spans="16:18" x14ac:dyDescent="0.25">
      <c r="P425" s="62"/>
      <c r="Q425" s="62"/>
      <c r="R425" s="62"/>
    </row>
    <row r="426" spans="16:18" x14ac:dyDescent="0.25">
      <c r="P426" s="62"/>
      <c r="Q426" s="62"/>
      <c r="R426" s="62"/>
    </row>
    <row r="427" spans="16:18" x14ac:dyDescent="0.25">
      <c r="P427" s="62"/>
      <c r="Q427" s="62"/>
      <c r="R427" s="62"/>
    </row>
    <row r="428" spans="16:18" x14ac:dyDescent="0.25">
      <c r="P428" s="62"/>
      <c r="Q428" s="62"/>
      <c r="R428" s="62"/>
    </row>
    <row r="429" spans="16:18" x14ac:dyDescent="0.25">
      <c r="P429" s="62"/>
      <c r="Q429" s="62"/>
      <c r="R429" s="62"/>
    </row>
    <row r="430" spans="16:18" x14ac:dyDescent="0.25">
      <c r="P430" s="62"/>
      <c r="Q430" s="62"/>
      <c r="R430" s="62"/>
    </row>
    <row r="431" spans="16:18" x14ac:dyDescent="0.25">
      <c r="P431" s="62"/>
      <c r="Q431" s="62"/>
      <c r="R431" s="62"/>
    </row>
    <row r="432" spans="16:18" x14ac:dyDescent="0.25">
      <c r="P432" s="62"/>
      <c r="Q432" s="62"/>
      <c r="R432" s="62"/>
    </row>
    <row r="433" spans="16:18" x14ac:dyDescent="0.25">
      <c r="P433" s="62"/>
      <c r="Q433" s="62"/>
      <c r="R433" s="62"/>
    </row>
    <row r="434" spans="16:18" x14ac:dyDescent="0.25">
      <c r="P434" s="62"/>
      <c r="Q434" s="62"/>
      <c r="R434" s="62"/>
    </row>
    <row r="435" spans="16:18" x14ac:dyDescent="0.25">
      <c r="P435" s="62"/>
      <c r="Q435" s="62"/>
      <c r="R435" s="62"/>
    </row>
    <row r="436" spans="16:18" x14ac:dyDescent="0.25">
      <c r="P436" s="62"/>
      <c r="Q436" s="62"/>
      <c r="R436" s="62"/>
    </row>
    <row r="437" spans="16:18" x14ac:dyDescent="0.25">
      <c r="P437" s="62"/>
      <c r="Q437" s="62"/>
      <c r="R437" s="62"/>
    </row>
    <row r="438" spans="16:18" x14ac:dyDescent="0.25">
      <c r="P438" s="62"/>
      <c r="Q438" s="62"/>
      <c r="R438" s="62"/>
    </row>
    <row r="439" spans="16:18" x14ac:dyDescent="0.25">
      <c r="P439" s="62"/>
      <c r="Q439" s="62"/>
      <c r="R439" s="62"/>
    </row>
    <row r="440" spans="16:18" x14ac:dyDescent="0.25">
      <c r="P440" s="62"/>
      <c r="Q440" s="62"/>
      <c r="R440" s="62"/>
    </row>
    <row r="441" spans="16:18" x14ac:dyDescent="0.25">
      <c r="P441" s="62"/>
      <c r="Q441" s="62"/>
      <c r="R441" s="62"/>
    </row>
    <row r="442" spans="16:18" x14ac:dyDescent="0.25">
      <c r="P442" s="62"/>
      <c r="Q442" s="62"/>
      <c r="R442" s="62"/>
    </row>
    <row r="443" spans="16:18" x14ac:dyDescent="0.25">
      <c r="P443" s="62"/>
      <c r="Q443" s="62"/>
      <c r="R443" s="62"/>
    </row>
    <row r="444" spans="16:18" x14ac:dyDescent="0.25">
      <c r="P444" s="62"/>
      <c r="Q444" s="62"/>
      <c r="R444" s="62"/>
    </row>
    <row r="445" spans="16:18" x14ac:dyDescent="0.25">
      <c r="P445" s="62"/>
      <c r="Q445" s="62"/>
      <c r="R445" s="62"/>
    </row>
    <row r="446" spans="16:18" x14ac:dyDescent="0.25">
      <c r="P446" s="62"/>
      <c r="Q446" s="62"/>
      <c r="R446" s="62"/>
    </row>
    <row r="447" spans="16:18" x14ac:dyDescent="0.25">
      <c r="P447" s="62"/>
      <c r="Q447" s="62"/>
      <c r="R447" s="62"/>
    </row>
    <row r="448" spans="16:18" x14ac:dyDescent="0.25">
      <c r="P448" s="62"/>
      <c r="Q448" s="62"/>
      <c r="R448" s="62"/>
    </row>
    <row r="449" spans="16:18" x14ac:dyDescent="0.25">
      <c r="P449" s="62"/>
      <c r="Q449" s="62"/>
      <c r="R449" s="62"/>
    </row>
    <row r="450" spans="16:18" x14ac:dyDescent="0.25">
      <c r="P450" s="62"/>
      <c r="Q450" s="62"/>
      <c r="R450" s="62"/>
    </row>
    <row r="451" spans="16:18" x14ac:dyDescent="0.25">
      <c r="P451" s="62"/>
      <c r="Q451" s="62"/>
      <c r="R451" s="62"/>
    </row>
    <row r="452" spans="16:18" x14ac:dyDescent="0.25">
      <c r="P452" s="62"/>
      <c r="Q452" s="62"/>
      <c r="R452" s="62"/>
    </row>
    <row r="453" spans="16:18" x14ac:dyDescent="0.25">
      <c r="P453" s="62"/>
      <c r="Q453" s="62"/>
      <c r="R453" s="62"/>
    </row>
    <row r="454" spans="16:18" x14ac:dyDescent="0.25">
      <c r="P454" s="62"/>
      <c r="Q454" s="62"/>
      <c r="R454" s="62"/>
    </row>
    <row r="455" spans="16:18" x14ac:dyDescent="0.25">
      <c r="P455" s="62"/>
      <c r="Q455" s="62"/>
      <c r="R455" s="62"/>
    </row>
    <row r="456" spans="16:18" x14ac:dyDescent="0.25">
      <c r="P456" s="62"/>
      <c r="Q456" s="62"/>
      <c r="R456" s="62"/>
    </row>
    <row r="457" spans="16:18" x14ac:dyDescent="0.25">
      <c r="P457" s="62"/>
      <c r="Q457" s="62"/>
      <c r="R457" s="62"/>
    </row>
    <row r="458" spans="16:18" x14ac:dyDescent="0.25">
      <c r="P458" s="62"/>
      <c r="Q458" s="62"/>
      <c r="R458" s="62"/>
    </row>
    <row r="459" spans="16:18" x14ac:dyDescent="0.25">
      <c r="P459" s="62"/>
      <c r="Q459" s="62"/>
      <c r="R459" s="62"/>
    </row>
    <row r="460" spans="16:18" x14ac:dyDescent="0.25">
      <c r="P460" s="62"/>
      <c r="Q460" s="62"/>
      <c r="R460" s="62"/>
    </row>
    <row r="461" spans="16:18" x14ac:dyDescent="0.25">
      <c r="P461" s="62"/>
      <c r="Q461" s="62"/>
      <c r="R461" s="62"/>
    </row>
    <row r="462" spans="16:18" x14ac:dyDescent="0.25">
      <c r="P462" s="62"/>
      <c r="Q462" s="62"/>
      <c r="R462" s="62"/>
    </row>
    <row r="463" spans="16:18" x14ac:dyDescent="0.25">
      <c r="P463" s="62"/>
      <c r="Q463" s="62"/>
      <c r="R463" s="62"/>
    </row>
    <row r="464" spans="16:18" x14ac:dyDescent="0.25">
      <c r="P464" s="62"/>
      <c r="Q464" s="62"/>
      <c r="R464" s="62"/>
    </row>
    <row r="465" spans="16:18" x14ac:dyDescent="0.25">
      <c r="P465" s="62"/>
      <c r="Q465" s="62"/>
      <c r="R465" s="62"/>
    </row>
    <row r="466" spans="16:18" x14ac:dyDescent="0.25">
      <c r="P466" s="62"/>
      <c r="Q466" s="62"/>
      <c r="R466" s="62"/>
    </row>
    <row r="467" spans="16:18" x14ac:dyDescent="0.25">
      <c r="P467" s="62"/>
      <c r="Q467" s="62"/>
      <c r="R467" s="62"/>
    </row>
    <row r="468" spans="16:18" x14ac:dyDescent="0.25">
      <c r="P468" s="62"/>
      <c r="Q468" s="62"/>
      <c r="R468" s="62"/>
    </row>
    <row r="469" spans="16:18" x14ac:dyDescent="0.25">
      <c r="P469" s="62"/>
      <c r="Q469" s="62"/>
      <c r="R469" s="62"/>
    </row>
    <row r="470" spans="16:18" x14ac:dyDescent="0.25">
      <c r="P470" s="62"/>
      <c r="Q470" s="62"/>
      <c r="R470" s="62"/>
    </row>
    <row r="471" spans="16:18" x14ac:dyDescent="0.25">
      <c r="P471" s="62"/>
      <c r="Q471" s="62"/>
      <c r="R471" s="62"/>
    </row>
    <row r="472" spans="16:18" x14ac:dyDescent="0.25">
      <c r="P472" s="62"/>
      <c r="Q472" s="62"/>
      <c r="R472" s="62"/>
    </row>
    <row r="473" spans="16:18" x14ac:dyDescent="0.25">
      <c r="P473" s="62"/>
      <c r="Q473" s="62"/>
      <c r="R473" s="62"/>
    </row>
    <row r="474" spans="16:18" x14ac:dyDescent="0.25">
      <c r="P474" s="62"/>
      <c r="Q474" s="62"/>
      <c r="R474" s="62"/>
    </row>
    <row r="475" spans="16:18" x14ac:dyDescent="0.25">
      <c r="P475" s="62"/>
      <c r="Q475" s="62"/>
      <c r="R475" s="62"/>
    </row>
    <row r="476" spans="16:18" x14ac:dyDescent="0.25">
      <c r="P476" s="62"/>
      <c r="Q476" s="62"/>
      <c r="R476" s="62"/>
    </row>
    <row r="477" spans="16:18" x14ac:dyDescent="0.25">
      <c r="P477" s="62"/>
      <c r="Q477" s="62"/>
      <c r="R477" s="62"/>
    </row>
    <row r="478" spans="16:18" x14ac:dyDescent="0.25">
      <c r="P478" s="62"/>
      <c r="Q478" s="62"/>
      <c r="R478" s="62"/>
    </row>
    <row r="479" spans="16:18" x14ac:dyDescent="0.25">
      <c r="P479" s="62"/>
      <c r="Q479" s="62"/>
      <c r="R479" s="62"/>
    </row>
    <row r="480" spans="16:18" x14ac:dyDescent="0.25">
      <c r="P480" s="62"/>
      <c r="Q480" s="62"/>
      <c r="R480" s="62"/>
    </row>
    <row r="481" spans="16:18" x14ac:dyDescent="0.25">
      <c r="P481" s="62"/>
      <c r="Q481" s="62"/>
      <c r="R481" s="62"/>
    </row>
    <row r="482" spans="16:18" x14ac:dyDescent="0.25">
      <c r="P482" s="62"/>
      <c r="Q482" s="62"/>
      <c r="R482" s="62"/>
    </row>
    <row r="483" spans="16:18" x14ac:dyDescent="0.25">
      <c r="P483" s="62"/>
      <c r="Q483" s="62"/>
      <c r="R483" s="62"/>
    </row>
    <row r="484" spans="16:18" x14ac:dyDescent="0.25">
      <c r="P484" s="62"/>
      <c r="Q484" s="62"/>
      <c r="R484" s="62"/>
    </row>
    <row r="485" spans="16:18" x14ac:dyDescent="0.25">
      <c r="P485" s="62"/>
      <c r="Q485" s="62"/>
      <c r="R485" s="62"/>
    </row>
    <row r="486" spans="16:18" x14ac:dyDescent="0.25">
      <c r="P486" s="62"/>
      <c r="Q486" s="62"/>
      <c r="R486" s="62"/>
    </row>
    <row r="487" spans="16:18" x14ac:dyDescent="0.25">
      <c r="P487" s="62"/>
      <c r="Q487" s="62"/>
      <c r="R487" s="62"/>
    </row>
    <row r="488" spans="16:18" x14ac:dyDescent="0.25">
      <c r="P488" s="62"/>
      <c r="Q488" s="62"/>
      <c r="R488" s="62"/>
    </row>
    <row r="489" spans="16:18" x14ac:dyDescent="0.25">
      <c r="P489" s="62"/>
      <c r="Q489" s="62"/>
      <c r="R489" s="62"/>
    </row>
    <row r="490" spans="16:18" x14ac:dyDescent="0.25">
      <c r="P490" s="62"/>
      <c r="Q490" s="62"/>
      <c r="R490" s="62"/>
    </row>
    <row r="491" spans="16:18" x14ac:dyDescent="0.25">
      <c r="P491" s="62"/>
      <c r="Q491" s="62"/>
      <c r="R491" s="62"/>
    </row>
    <row r="492" spans="16:18" x14ac:dyDescent="0.25">
      <c r="P492" s="62"/>
      <c r="Q492" s="62"/>
      <c r="R492" s="62"/>
    </row>
    <row r="493" spans="16:18" x14ac:dyDescent="0.25">
      <c r="P493" s="62"/>
      <c r="Q493" s="62"/>
      <c r="R493" s="62"/>
    </row>
    <row r="494" spans="16:18" x14ac:dyDescent="0.25">
      <c r="P494" s="62"/>
      <c r="Q494" s="62"/>
      <c r="R494" s="62"/>
    </row>
    <row r="495" spans="16:18" x14ac:dyDescent="0.25">
      <c r="P495" s="62"/>
      <c r="Q495" s="62"/>
      <c r="R495" s="62"/>
    </row>
    <row r="496" spans="16:18" x14ac:dyDescent="0.25">
      <c r="P496" s="62"/>
      <c r="Q496" s="62"/>
      <c r="R496" s="62"/>
    </row>
    <row r="497" spans="16:18" x14ac:dyDescent="0.25">
      <c r="P497" s="62"/>
      <c r="Q497" s="62"/>
      <c r="R497" s="62"/>
    </row>
    <row r="498" spans="16:18" x14ac:dyDescent="0.25">
      <c r="P498" s="62"/>
      <c r="Q498" s="62"/>
      <c r="R498" s="62"/>
    </row>
    <row r="499" spans="16:18" x14ac:dyDescent="0.25">
      <c r="P499" s="62"/>
      <c r="Q499" s="62"/>
      <c r="R499" s="62"/>
    </row>
    <row r="500" spans="16:18" x14ac:dyDescent="0.25">
      <c r="P500" s="63"/>
      <c r="Q500" s="63"/>
      <c r="R500" s="63"/>
    </row>
    <row r="1000" spans="1:15" x14ac:dyDescent="0.25">
      <c r="A1000" s="63"/>
      <c r="B1000" s="63"/>
      <c r="C1000" s="66"/>
      <c r="D1000" s="63"/>
      <c r="E1000" s="63"/>
      <c r="F1000" s="63"/>
      <c r="G1000" s="63"/>
      <c r="H1000" s="63"/>
      <c r="I1000" s="63"/>
      <c r="J1000" s="63"/>
      <c r="K1000" s="63"/>
      <c r="L1000" s="63"/>
      <c r="M1000" s="63"/>
      <c r="N1000" s="63"/>
      <c r="O1000" s="63"/>
    </row>
  </sheetData>
  <sheetProtection autoFilter="0"/>
  <phoneticPr fontId="7" type="noConversion"/>
  <conditionalFormatting sqref="A3:R10000">
    <cfRule type="expression" dxfId="26" priority="1">
      <formula>AND($I3&lt;TODAY(),$J3="")</formula>
    </cfRule>
    <cfRule type="expression" dxfId="25" priority="6">
      <formula>$J3&lt;&gt;""</formula>
    </cfRule>
    <cfRule type="expression" dxfId="24" priority="8">
      <formula>AND($N3="低/Low",$J3="")</formula>
    </cfRule>
    <cfRule type="expression" dxfId="23" priority="9">
      <formula>AND($N3="中/Mid",$J3="")</formula>
    </cfRule>
    <cfRule type="expression" dxfId="22" priority="10">
      <formula>AND($N3="高/High",$J3="")</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7176" r:id="rId4" name="cbtnSignOut">
          <controlPr defaultSize="0" autoLine="0" r:id="rId5">
            <anchor moveWithCells="1">
              <from>
                <xdr:col>0</xdr:col>
                <xdr:colOff>161925</xdr:colOff>
                <xdr:row>0</xdr:row>
                <xdr:rowOff>180975</xdr:rowOff>
              </from>
              <to>
                <xdr:col>2</xdr:col>
                <xdr:colOff>314325</xdr:colOff>
                <xdr:row>0</xdr:row>
                <xdr:rowOff>695325</xdr:rowOff>
              </to>
            </anchor>
          </controlPr>
        </control>
      </mc:Choice>
      <mc:Fallback>
        <control shapeId="7176" r:id="rId4" name="cbtnSignOut"/>
      </mc:Fallback>
    </mc:AlternateContent>
    <mc:AlternateContent xmlns:mc="http://schemas.openxmlformats.org/markup-compatibility/2006">
      <mc:Choice Requires="x14">
        <control shapeId="7178" r:id="rId6" name="cbtnAddReport">
          <controlPr defaultSize="0" autoLine="0" r:id="rId7">
            <anchor moveWithCells="1">
              <from>
                <xdr:col>2</xdr:col>
                <xdr:colOff>361950</xdr:colOff>
                <xdr:row>0</xdr:row>
                <xdr:rowOff>190500</xdr:rowOff>
              </from>
              <to>
                <xdr:col>3</xdr:col>
                <xdr:colOff>609600</xdr:colOff>
                <xdr:row>0</xdr:row>
                <xdr:rowOff>704850</xdr:rowOff>
              </to>
            </anchor>
          </controlPr>
        </control>
      </mc:Choice>
      <mc:Fallback>
        <control shapeId="7178" r:id="rId6" name="cbtnAddReport"/>
      </mc:Fallback>
    </mc:AlternateContent>
    <mc:AlternateContent xmlns:mc="http://schemas.openxmlformats.org/markup-compatibility/2006">
      <mc:Choice Requires="x14">
        <control shapeId="7179" r:id="rId8" name="cbtnEditReport">
          <controlPr defaultSize="0" autoLine="0" r:id="rId9">
            <anchor moveWithCells="1">
              <from>
                <xdr:col>3</xdr:col>
                <xdr:colOff>666750</xdr:colOff>
                <xdr:row>0</xdr:row>
                <xdr:rowOff>200025</xdr:rowOff>
              </from>
              <to>
                <xdr:col>4</xdr:col>
                <xdr:colOff>1047750</xdr:colOff>
                <xdr:row>0</xdr:row>
                <xdr:rowOff>714375</xdr:rowOff>
              </to>
            </anchor>
          </controlPr>
        </control>
      </mc:Choice>
      <mc:Fallback>
        <control shapeId="7179" r:id="rId8" name="cbtnEditReport"/>
      </mc:Fallback>
    </mc:AlternateContent>
    <mc:AlternateContent xmlns:mc="http://schemas.openxmlformats.org/markup-compatibility/2006">
      <mc:Choice Requires="x14">
        <control shapeId="7180" r:id="rId10" name="ComboBox1">
          <controlPr defaultSize="0" autoLine="0" autoPict="0" listFillRange="Sheet1!W2:W28" r:id="rId11">
            <anchor moveWithCells="1">
              <from>
                <xdr:col>9</xdr:col>
                <xdr:colOff>685800</xdr:colOff>
                <xdr:row>0</xdr:row>
                <xdr:rowOff>200025</xdr:rowOff>
              </from>
              <to>
                <xdr:col>10</xdr:col>
                <xdr:colOff>1447800</xdr:colOff>
                <xdr:row>0</xdr:row>
                <xdr:rowOff>447675</xdr:rowOff>
              </to>
            </anchor>
          </controlPr>
        </control>
      </mc:Choice>
      <mc:Fallback>
        <control shapeId="7180" r:id="rId10" name="ComboBox1"/>
      </mc:Fallback>
    </mc:AlternateContent>
    <mc:AlternateContent xmlns:mc="http://schemas.openxmlformats.org/markup-compatibility/2006">
      <mc:Choice Requires="x14">
        <control shapeId="7181" r:id="rId12" name="ComboBox2">
          <controlPr defaultSize="0" autoLine="0" listFillRange="Sheet1!A23:A26" r:id="rId13">
            <anchor moveWithCells="1">
              <from>
                <xdr:col>11</xdr:col>
                <xdr:colOff>9525</xdr:colOff>
                <xdr:row>0</xdr:row>
                <xdr:rowOff>200025</xdr:rowOff>
              </from>
              <to>
                <xdr:col>12</xdr:col>
                <xdr:colOff>781050</xdr:colOff>
                <xdr:row>0</xdr:row>
                <xdr:rowOff>447675</xdr:rowOff>
              </to>
            </anchor>
          </controlPr>
        </control>
      </mc:Choice>
      <mc:Fallback>
        <control shapeId="7181" r:id="rId12" name="ComboBox2"/>
      </mc:Fallback>
    </mc:AlternateContent>
    <mc:AlternateContent xmlns:mc="http://schemas.openxmlformats.org/markup-compatibility/2006">
      <mc:Choice Requires="x14">
        <control shapeId="7182" r:id="rId14" name="ComboBox3">
          <controlPr defaultSize="0" autoLine="0" listFillRange="Sheet1!A1:A7" r:id="rId15">
            <anchor moveWithCells="1">
              <from>
                <xdr:col>11</xdr:col>
                <xdr:colOff>828675</xdr:colOff>
                <xdr:row>0</xdr:row>
                <xdr:rowOff>200025</xdr:rowOff>
              </from>
              <to>
                <xdr:col>13</xdr:col>
                <xdr:colOff>495300</xdr:colOff>
                <xdr:row>0</xdr:row>
                <xdr:rowOff>447675</xdr:rowOff>
              </to>
            </anchor>
          </controlPr>
        </control>
      </mc:Choice>
      <mc:Fallback>
        <control shapeId="7182" r:id="rId14" name="ComboBox3"/>
      </mc:Fallback>
    </mc:AlternateContent>
    <mc:AlternateContent xmlns:mc="http://schemas.openxmlformats.org/markup-compatibility/2006">
      <mc:Choice Requires="x14">
        <control shapeId="7183" r:id="rId16" name="ComboBox4">
          <controlPr defaultSize="0" autoLine="0" listFillRange="Sheet1!A14:A17" r:id="rId17">
            <anchor moveWithCells="1">
              <from>
                <xdr:col>12</xdr:col>
                <xdr:colOff>390525</xdr:colOff>
                <xdr:row>0</xdr:row>
                <xdr:rowOff>200025</xdr:rowOff>
              </from>
              <to>
                <xdr:col>13</xdr:col>
                <xdr:colOff>38100</xdr:colOff>
                <xdr:row>0</xdr:row>
                <xdr:rowOff>457200</xdr:rowOff>
              </to>
            </anchor>
          </controlPr>
        </control>
      </mc:Choice>
      <mc:Fallback>
        <control shapeId="7183" r:id="rId16" name="ComboBox4"/>
      </mc:Fallback>
    </mc:AlternateContent>
    <mc:AlternateContent xmlns:mc="http://schemas.openxmlformats.org/markup-compatibility/2006">
      <mc:Choice Requires="x14">
        <control shapeId="7184" r:id="rId18" name="TextBox1">
          <controlPr defaultSize="0" autoLine="0" r:id="rId19">
            <anchor moveWithCells="1">
              <from>
                <xdr:col>6</xdr:col>
                <xdr:colOff>628650</xdr:colOff>
                <xdr:row>0</xdr:row>
                <xdr:rowOff>276225</xdr:rowOff>
              </from>
              <to>
                <xdr:col>7</xdr:col>
                <xdr:colOff>457200</xdr:colOff>
                <xdr:row>0</xdr:row>
                <xdr:rowOff>523875</xdr:rowOff>
              </to>
            </anchor>
          </controlPr>
        </control>
      </mc:Choice>
      <mc:Fallback>
        <control shapeId="7184" r:id="rId18" name="TextBox1"/>
      </mc:Fallback>
    </mc:AlternateContent>
    <mc:AlternateContent xmlns:mc="http://schemas.openxmlformats.org/markup-compatibility/2006">
      <mc:Choice Requires="x14">
        <control shapeId="7185" r:id="rId20" name="TextBox2">
          <controlPr defaultSize="0" autoLine="0" autoPict="0" r:id="rId21">
            <anchor moveWithCells="1">
              <from>
                <xdr:col>7</xdr:col>
                <xdr:colOff>1552575</xdr:colOff>
                <xdr:row>0</xdr:row>
                <xdr:rowOff>276225</xdr:rowOff>
              </from>
              <to>
                <xdr:col>8</xdr:col>
                <xdr:colOff>638175</xdr:colOff>
                <xdr:row>0</xdr:row>
                <xdr:rowOff>523875</xdr:rowOff>
              </to>
            </anchor>
          </controlPr>
        </control>
      </mc:Choice>
      <mc:Fallback>
        <control shapeId="7185" r:id="rId20" name="TextBox2"/>
      </mc:Fallback>
    </mc:AlternateContent>
    <mc:AlternateContent xmlns:mc="http://schemas.openxmlformats.org/markup-compatibility/2006">
      <mc:Choice Requires="x14">
        <control shapeId="7186" r:id="rId22" name="CommandButton1">
          <controlPr defaultSize="0" autoLine="0" r:id="rId23">
            <anchor moveWithCells="1">
              <from>
                <xdr:col>13</xdr:col>
                <xdr:colOff>485775</xdr:colOff>
                <xdr:row>0</xdr:row>
                <xdr:rowOff>266700</xdr:rowOff>
              </from>
              <to>
                <xdr:col>14</xdr:col>
                <xdr:colOff>457200</xdr:colOff>
                <xdr:row>0</xdr:row>
                <xdr:rowOff>552450</xdr:rowOff>
              </to>
            </anchor>
          </controlPr>
        </control>
      </mc:Choice>
      <mc:Fallback>
        <control shapeId="7186" r:id="rId22" name="CommandButton1"/>
      </mc:Fallback>
    </mc:AlternateContent>
    <mc:AlternateContent xmlns:mc="http://schemas.openxmlformats.org/markup-compatibility/2006">
      <mc:Choice Requires="x14">
        <control shapeId="7187" r:id="rId24" name="cbtnExport">
          <controlPr defaultSize="0" autoLine="0" r:id="rId25">
            <anchor moveWithCells="1">
              <from>
                <xdr:col>4</xdr:col>
                <xdr:colOff>1085850</xdr:colOff>
                <xdr:row>0</xdr:row>
                <xdr:rowOff>190500</xdr:rowOff>
              </from>
              <to>
                <xdr:col>5</xdr:col>
                <xdr:colOff>1371600</xdr:colOff>
                <xdr:row>0</xdr:row>
                <xdr:rowOff>704850</xdr:rowOff>
              </to>
            </anchor>
          </controlPr>
        </control>
      </mc:Choice>
      <mc:Fallback>
        <control shapeId="7187" r:id="rId24" name="cbtnExport"/>
      </mc:Fallback>
    </mc:AlternateContent>
  </controls>
  <tableParts count="1">
    <tablePart r:id="rId2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413FB-CF58-420B-A698-A4EFE2BCAF79}">
  <sheetPr codeName="Sheet1"/>
  <dimension ref="A1:IK86"/>
  <sheetViews>
    <sheetView topLeftCell="R1" zoomScaleNormal="100" workbookViewId="0">
      <selection activeCell="U10" sqref="U10"/>
    </sheetView>
  </sheetViews>
  <sheetFormatPr defaultRowHeight="15" x14ac:dyDescent="0.25"/>
  <cols>
    <col min="1" max="1" width="8.140625" bestFit="1" customWidth="1"/>
    <col min="2" max="2" width="3.7109375" customWidth="1"/>
    <col min="3" max="3" width="16.140625" bestFit="1" customWidth="1"/>
    <col min="19" max="19" width="8" bestFit="1" customWidth="1"/>
    <col min="20" max="20" width="41.28515625" bestFit="1" customWidth="1"/>
    <col min="21" max="21" width="31.7109375" bestFit="1" customWidth="1"/>
    <col min="23" max="23" width="25" bestFit="1" customWidth="1"/>
    <col min="25" max="25" width="8.42578125" bestFit="1" customWidth="1"/>
    <col min="26" max="26" width="9.85546875" bestFit="1" customWidth="1"/>
    <col min="27" max="27" width="9.85546875" customWidth="1"/>
    <col min="28" max="28" width="10.85546875" bestFit="1" customWidth="1"/>
  </cols>
  <sheetData>
    <row r="1" spans="1:245" ht="22.5" thickTop="1" thickBot="1" x14ac:dyDescent="0.4">
      <c r="A1" s="40" t="s">
        <v>0</v>
      </c>
      <c r="C1" s="103" t="s">
        <v>1</v>
      </c>
      <c r="D1" s="104"/>
      <c r="E1" s="104"/>
      <c r="F1" s="104"/>
      <c r="G1" s="104"/>
      <c r="H1" s="104"/>
      <c r="I1" s="104"/>
      <c r="J1" s="104"/>
      <c r="K1" s="104"/>
      <c r="L1" s="104"/>
      <c r="M1" s="104"/>
      <c r="N1" s="104"/>
      <c r="O1" s="104"/>
      <c r="P1" s="104"/>
      <c r="Q1" s="105"/>
      <c r="S1" s="106" t="s">
        <v>2</v>
      </c>
      <c r="T1" s="107"/>
      <c r="U1" s="108"/>
      <c r="W1" s="47" t="s">
        <v>60</v>
      </c>
      <c r="Y1" s="43" t="s">
        <v>94</v>
      </c>
      <c r="Z1" s="43" t="s">
        <v>99</v>
      </c>
      <c r="AA1" s="43" t="s">
        <v>98</v>
      </c>
      <c r="AB1" s="43" t="s">
        <v>95</v>
      </c>
      <c r="AD1" s="43" t="s">
        <v>103</v>
      </c>
      <c r="AE1" s="43" t="s">
        <v>104</v>
      </c>
    </row>
    <row r="2" spans="1:245" ht="17.25" thickTop="1" thickBot="1" x14ac:dyDescent="0.3">
      <c r="A2" s="41">
        <v>7</v>
      </c>
      <c r="C2" s="12">
        <v>10</v>
      </c>
      <c r="D2" s="13">
        <v>11</v>
      </c>
      <c r="E2" s="14">
        <v>12</v>
      </c>
      <c r="F2" s="13">
        <v>13</v>
      </c>
      <c r="G2" s="14">
        <v>14</v>
      </c>
      <c r="H2" s="13">
        <v>15</v>
      </c>
      <c r="I2" s="13">
        <v>16</v>
      </c>
      <c r="J2" s="14">
        <v>17</v>
      </c>
      <c r="K2" s="13">
        <v>18</v>
      </c>
      <c r="L2" s="13">
        <v>19</v>
      </c>
      <c r="M2" s="14">
        <v>20</v>
      </c>
      <c r="N2" s="13">
        <v>21</v>
      </c>
      <c r="O2" s="13">
        <v>22</v>
      </c>
      <c r="P2" s="13">
        <v>23</v>
      </c>
      <c r="Q2" s="15">
        <v>24</v>
      </c>
      <c r="S2" s="23" t="s">
        <v>57</v>
      </c>
      <c r="T2" s="22" t="s">
        <v>58</v>
      </c>
      <c r="U2" s="24" t="s">
        <v>59</v>
      </c>
      <c r="W2" s="46" t="s">
        <v>83</v>
      </c>
      <c r="Y2" s="42">
        <v>1</v>
      </c>
      <c r="Z2" s="42">
        <v>7001</v>
      </c>
      <c r="AA2" s="42">
        <v>7002</v>
      </c>
      <c r="AB2" s="42" t="s">
        <v>96</v>
      </c>
      <c r="AD2" s="45" t="s">
        <v>105</v>
      </c>
      <c r="AE2" s="45" t="s">
        <v>105</v>
      </c>
    </row>
    <row r="3" spans="1:245" ht="16.5" thickTop="1" x14ac:dyDescent="0.25">
      <c r="A3" s="41">
        <v>8</v>
      </c>
      <c r="C3" s="9">
        <v>1</v>
      </c>
      <c r="D3" s="20">
        <v>1</v>
      </c>
      <c r="E3" s="8" t="s">
        <v>148</v>
      </c>
      <c r="F3" s="7">
        <v>1</v>
      </c>
      <c r="G3" s="8">
        <v>1</v>
      </c>
      <c r="H3" s="7">
        <v>1</v>
      </c>
      <c r="I3" s="7">
        <v>1</v>
      </c>
      <c r="J3" s="7"/>
      <c r="K3" s="7">
        <v>1</v>
      </c>
      <c r="L3" s="7">
        <v>1</v>
      </c>
      <c r="M3" s="7">
        <v>1</v>
      </c>
      <c r="N3" s="7">
        <v>1</v>
      </c>
      <c r="O3" s="7">
        <v>1</v>
      </c>
      <c r="P3" s="7">
        <v>1</v>
      </c>
      <c r="Q3" s="7">
        <v>1</v>
      </c>
      <c r="S3" s="29">
        <v>10</v>
      </c>
      <c r="T3" s="57" t="s">
        <v>3</v>
      </c>
      <c r="U3" s="25" t="s">
        <v>30</v>
      </c>
      <c r="W3" s="33" t="s">
        <v>61</v>
      </c>
      <c r="Y3" s="42">
        <v>2</v>
      </c>
      <c r="Z3" s="42">
        <v>7003</v>
      </c>
      <c r="AA3" s="42">
        <v>7004</v>
      </c>
      <c r="AB3" s="42" t="s">
        <v>96</v>
      </c>
      <c r="AD3" s="45" t="s">
        <v>106</v>
      </c>
      <c r="AE3" s="45" t="s">
        <v>106</v>
      </c>
      <c r="IK3">
        <v>1</v>
      </c>
    </row>
    <row r="4" spans="1:245" ht="15.75" x14ac:dyDescent="0.25">
      <c r="A4" s="41">
        <v>9</v>
      </c>
      <c r="C4" s="9">
        <v>1</v>
      </c>
      <c r="D4" s="20">
        <v>-1</v>
      </c>
      <c r="E4" s="1"/>
      <c r="F4" s="7">
        <v>1</v>
      </c>
      <c r="G4" s="1"/>
      <c r="H4" s="7">
        <v>1</v>
      </c>
      <c r="I4" s="7">
        <v>1</v>
      </c>
      <c r="J4" s="1"/>
      <c r="K4" s="7">
        <v>1</v>
      </c>
      <c r="L4" s="1"/>
      <c r="M4" s="1"/>
      <c r="N4" s="7">
        <v>1</v>
      </c>
      <c r="O4" s="7">
        <v>1</v>
      </c>
      <c r="P4" s="1"/>
      <c r="Q4" s="2"/>
      <c r="S4" s="30">
        <f>S3+1</f>
        <v>11</v>
      </c>
      <c r="T4" s="21" t="s">
        <v>4</v>
      </c>
      <c r="U4" s="26" t="s">
        <v>31</v>
      </c>
      <c r="W4" s="33" t="s">
        <v>62</v>
      </c>
      <c r="Y4" s="42">
        <v>3</v>
      </c>
      <c r="Z4" s="42">
        <v>7005</v>
      </c>
      <c r="AA4" s="42">
        <v>7006</v>
      </c>
      <c r="AB4" s="42" t="s">
        <v>96</v>
      </c>
      <c r="AD4" s="45" t="s">
        <v>242</v>
      </c>
      <c r="AE4" s="45" t="s">
        <v>242</v>
      </c>
    </row>
    <row r="5" spans="1:245" ht="15.75" x14ac:dyDescent="0.25">
      <c r="A5" s="41">
        <v>10</v>
      </c>
      <c r="C5" s="9">
        <v>1</v>
      </c>
      <c r="D5" s="1"/>
      <c r="E5" s="1"/>
      <c r="F5" s="7">
        <v>1</v>
      </c>
      <c r="G5" s="1"/>
      <c r="H5" s="7">
        <v>1</v>
      </c>
      <c r="I5" s="7">
        <v>1</v>
      </c>
      <c r="J5" s="1"/>
      <c r="K5" s="1"/>
      <c r="L5" s="1"/>
      <c r="M5" s="1"/>
      <c r="N5" s="7">
        <v>1</v>
      </c>
      <c r="O5" s="7">
        <v>1</v>
      </c>
      <c r="P5" s="1"/>
      <c r="Q5" s="2"/>
      <c r="S5" s="30">
        <f t="shared" ref="S5:S28" si="0">S4+1</f>
        <v>12</v>
      </c>
      <c r="T5" s="21" t="s">
        <v>5</v>
      </c>
      <c r="U5" s="26" t="s">
        <v>32</v>
      </c>
      <c r="W5" s="33" t="s">
        <v>63</v>
      </c>
      <c r="Y5" s="42">
        <v>4</v>
      </c>
      <c r="Z5" s="42">
        <v>7007</v>
      </c>
      <c r="AA5" s="42">
        <v>7008</v>
      </c>
      <c r="AB5" s="42" t="s">
        <v>96</v>
      </c>
      <c r="AD5" s="45" t="s">
        <v>243</v>
      </c>
      <c r="AE5" s="45" t="s">
        <v>243</v>
      </c>
    </row>
    <row r="6" spans="1:245" ht="15.75" x14ac:dyDescent="0.25">
      <c r="A6" s="41">
        <v>11</v>
      </c>
      <c r="C6" s="9">
        <v>1</v>
      </c>
      <c r="D6" s="1"/>
      <c r="E6" s="1"/>
      <c r="F6" s="7">
        <v>1</v>
      </c>
      <c r="G6" s="1"/>
      <c r="H6" s="7">
        <v>1</v>
      </c>
      <c r="I6" s="7">
        <v>1</v>
      </c>
      <c r="J6" s="1"/>
      <c r="K6" s="1"/>
      <c r="L6" s="1"/>
      <c r="M6" s="1"/>
      <c r="N6" s="7">
        <v>1</v>
      </c>
      <c r="O6" s="7">
        <v>1</v>
      </c>
      <c r="P6" s="1"/>
      <c r="Q6" s="2"/>
      <c r="S6" s="30">
        <f t="shared" si="0"/>
        <v>13</v>
      </c>
      <c r="T6" s="21" t="s">
        <v>6</v>
      </c>
      <c r="U6" s="26" t="s">
        <v>33</v>
      </c>
      <c r="W6" s="33" t="s">
        <v>64</v>
      </c>
      <c r="Y6" s="42">
        <v>5</v>
      </c>
      <c r="Z6" s="42">
        <v>7009</v>
      </c>
      <c r="AA6" s="42">
        <v>7010</v>
      </c>
      <c r="AB6" s="42" t="s">
        <v>96</v>
      </c>
    </row>
    <row r="7" spans="1:245" ht="15.75" x14ac:dyDescent="0.25">
      <c r="A7" s="41">
        <v>12</v>
      </c>
      <c r="C7" s="9">
        <v>1</v>
      </c>
      <c r="D7" s="1"/>
      <c r="E7" s="1"/>
      <c r="F7" s="1"/>
      <c r="G7" s="1"/>
      <c r="H7" s="7">
        <v>1</v>
      </c>
      <c r="I7" s="7">
        <v>1</v>
      </c>
      <c r="J7" s="1"/>
      <c r="K7" s="1"/>
      <c r="L7" s="1"/>
      <c r="M7" s="1"/>
      <c r="N7" s="7">
        <v>1</v>
      </c>
      <c r="O7" s="1"/>
      <c r="P7" s="1"/>
      <c r="Q7" s="2"/>
      <c r="S7" s="30">
        <f t="shared" si="0"/>
        <v>14</v>
      </c>
      <c r="T7" s="21" t="s">
        <v>7</v>
      </c>
      <c r="U7" s="26" t="s">
        <v>34</v>
      </c>
      <c r="W7" s="33" t="s">
        <v>65</v>
      </c>
      <c r="Y7" s="42">
        <v>6</v>
      </c>
      <c r="Z7" s="42">
        <v>7011</v>
      </c>
      <c r="AA7" s="42">
        <v>7012</v>
      </c>
      <c r="AB7" s="42" t="s">
        <v>100</v>
      </c>
    </row>
    <row r="8" spans="1:245" ht="15.75" x14ac:dyDescent="0.25">
      <c r="B8" s="34"/>
      <c r="C8" s="9">
        <v>1</v>
      </c>
      <c r="D8" s="1"/>
      <c r="E8" s="1"/>
      <c r="F8" s="1"/>
      <c r="G8" s="1"/>
      <c r="H8" s="7">
        <v>1</v>
      </c>
      <c r="I8" s="7">
        <v>1</v>
      </c>
      <c r="J8" s="1"/>
      <c r="K8" s="1"/>
      <c r="L8" s="1"/>
      <c r="M8" s="1"/>
      <c r="N8" s="1"/>
      <c r="O8" s="1"/>
      <c r="P8" s="1"/>
      <c r="Q8" s="2"/>
      <c r="S8" s="30">
        <f t="shared" si="0"/>
        <v>15</v>
      </c>
      <c r="T8" s="21" t="s">
        <v>8</v>
      </c>
      <c r="U8" s="26" t="s">
        <v>35</v>
      </c>
      <c r="W8" s="33" t="s">
        <v>66</v>
      </c>
      <c r="Y8" s="42">
        <v>7</v>
      </c>
      <c r="Z8" s="42">
        <v>7013</v>
      </c>
      <c r="AA8" s="42">
        <v>7014</v>
      </c>
      <c r="AB8" s="42" t="s">
        <v>97</v>
      </c>
    </row>
    <row r="9" spans="1:245" ht="15.75" x14ac:dyDescent="0.25">
      <c r="A9" s="35" t="s">
        <v>84</v>
      </c>
      <c r="C9" s="9">
        <v>1</v>
      </c>
      <c r="D9" s="1"/>
      <c r="E9" s="1"/>
      <c r="F9" s="1"/>
      <c r="G9" s="1"/>
      <c r="H9" s="7">
        <v>1</v>
      </c>
      <c r="I9" s="7">
        <v>1</v>
      </c>
      <c r="J9" s="1"/>
      <c r="K9" s="1"/>
      <c r="L9" s="1"/>
      <c r="M9" s="1"/>
      <c r="N9" s="1"/>
      <c r="O9" s="1"/>
      <c r="P9" s="1"/>
      <c r="Q9" s="2"/>
      <c r="S9" s="30">
        <f t="shared" si="0"/>
        <v>16</v>
      </c>
      <c r="T9" s="21" t="s">
        <v>9</v>
      </c>
      <c r="U9" s="26" t="s">
        <v>36</v>
      </c>
      <c r="W9" s="33" t="s">
        <v>67</v>
      </c>
      <c r="Y9" s="42">
        <v>8</v>
      </c>
      <c r="Z9" s="42">
        <v>7015</v>
      </c>
      <c r="AA9" s="42">
        <v>7016</v>
      </c>
      <c r="AB9" s="42" t="s">
        <v>97</v>
      </c>
    </row>
    <row r="10" spans="1:245" ht="15.75" x14ac:dyDescent="0.25">
      <c r="A10" s="36" t="s">
        <v>85</v>
      </c>
      <c r="C10" s="9">
        <v>1</v>
      </c>
      <c r="D10" s="1"/>
      <c r="E10" s="1"/>
      <c r="F10" s="1"/>
      <c r="G10" s="1"/>
      <c r="H10" s="7">
        <v>1</v>
      </c>
      <c r="I10" s="7">
        <v>1</v>
      </c>
      <c r="J10" s="1"/>
      <c r="K10" s="1"/>
      <c r="L10" s="1"/>
      <c r="M10" s="1"/>
      <c r="N10" s="1"/>
      <c r="O10" s="1"/>
      <c r="P10" s="1"/>
      <c r="Q10" s="2"/>
      <c r="S10" s="30">
        <f t="shared" si="0"/>
        <v>17</v>
      </c>
      <c r="T10" s="21" t="s">
        <v>10</v>
      </c>
      <c r="U10" s="26" t="s">
        <v>37</v>
      </c>
      <c r="W10" s="33" t="s">
        <v>68</v>
      </c>
      <c r="Y10" s="42">
        <v>9</v>
      </c>
      <c r="Z10" s="42">
        <v>7017</v>
      </c>
      <c r="AA10" s="42">
        <v>7018</v>
      </c>
      <c r="AB10" s="42" t="s">
        <v>97</v>
      </c>
    </row>
    <row r="11" spans="1:245" ht="15.75" x14ac:dyDescent="0.25">
      <c r="A11" s="36" t="s">
        <v>86</v>
      </c>
      <c r="C11" s="9">
        <v>1</v>
      </c>
      <c r="D11" s="1"/>
      <c r="E11" s="1"/>
      <c r="F11" s="1"/>
      <c r="G11" s="1"/>
      <c r="H11" s="7">
        <v>1</v>
      </c>
      <c r="I11" s="7">
        <v>1</v>
      </c>
      <c r="J11" s="1"/>
      <c r="K11" s="1"/>
      <c r="L11" s="1"/>
      <c r="M11" s="1"/>
      <c r="N11" s="1"/>
      <c r="O11" s="1"/>
      <c r="P11" s="1"/>
      <c r="Q11" s="2"/>
      <c r="S11" s="30">
        <f t="shared" si="0"/>
        <v>18</v>
      </c>
      <c r="T11" s="21" t="s">
        <v>11</v>
      </c>
      <c r="U11" s="26" t="s">
        <v>38</v>
      </c>
      <c r="W11" s="33" t="s">
        <v>69</v>
      </c>
      <c r="Y11" s="42">
        <v>10</v>
      </c>
      <c r="Z11" s="42">
        <v>7019</v>
      </c>
      <c r="AA11" s="42">
        <v>7020</v>
      </c>
      <c r="AB11" s="42" t="s">
        <v>97</v>
      </c>
    </row>
    <row r="12" spans="1:245" ht="15.75" x14ac:dyDescent="0.25">
      <c r="A12" s="36" t="s">
        <v>87</v>
      </c>
      <c r="C12" s="3"/>
      <c r="D12" s="1"/>
      <c r="E12" s="1"/>
      <c r="F12" s="1"/>
      <c r="G12" s="1"/>
      <c r="H12" s="7">
        <v>1</v>
      </c>
      <c r="I12" s="7">
        <v>1</v>
      </c>
      <c r="J12" s="1"/>
      <c r="K12" s="1"/>
      <c r="L12" s="1"/>
      <c r="M12" s="1"/>
      <c r="N12" s="1"/>
      <c r="O12" s="1"/>
      <c r="P12" s="1"/>
      <c r="Q12" s="2"/>
      <c r="S12" s="30">
        <f t="shared" si="0"/>
        <v>19</v>
      </c>
      <c r="T12" s="21" t="s">
        <v>12</v>
      </c>
      <c r="U12" s="26" t="s">
        <v>39</v>
      </c>
      <c r="W12" s="33" t="s">
        <v>70</v>
      </c>
      <c r="Y12" s="42">
        <v>11</v>
      </c>
      <c r="Z12" s="42">
        <v>7021</v>
      </c>
      <c r="AA12" s="42">
        <v>7022</v>
      </c>
      <c r="AB12" s="42" t="s">
        <v>97</v>
      </c>
    </row>
    <row r="13" spans="1:245" ht="15.75" x14ac:dyDescent="0.25">
      <c r="C13" s="3"/>
      <c r="D13" s="1"/>
      <c r="E13" s="1"/>
      <c r="F13" s="1"/>
      <c r="G13" s="1"/>
      <c r="H13" s="7">
        <v>1</v>
      </c>
      <c r="I13" s="1"/>
      <c r="J13" s="1"/>
      <c r="K13" s="1"/>
      <c r="L13" s="1"/>
      <c r="M13" s="1"/>
      <c r="N13" s="1"/>
      <c r="O13" s="1"/>
      <c r="P13" s="1"/>
      <c r="Q13" s="2"/>
      <c r="S13" s="30">
        <f t="shared" si="0"/>
        <v>20</v>
      </c>
      <c r="T13" s="21" t="s">
        <v>13</v>
      </c>
      <c r="U13" s="26" t="s">
        <v>40</v>
      </c>
      <c r="W13" s="33" t="s">
        <v>71</v>
      </c>
      <c r="Y13" s="42">
        <v>12</v>
      </c>
      <c r="Z13" s="42">
        <v>7023</v>
      </c>
      <c r="AA13" s="42">
        <v>7024</v>
      </c>
      <c r="AB13" s="42" t="s">
        <v>97</v>
      </c>
    </row>
    <row r="14" spans="1:245" ht="15.75" x14ac:dyDescent="0.25">
      <c r="A14" s="38" t="s">
        <v>88</v>
      </c>
      <c r="C14" s="3"/>
      <c r="D14" s="1"/>
      <c r="E14" s="1"/>
      <c r="F14" s="1"/>
      <c r="G14" s="1"/>
      <c r="H14" s="7">
        <v>1</v>
      </c>
      <c r="I14" s="1"/>
      <c r="J14" s="1"/>
      <c r="K14" s="1"/>
      <c r="L14" s="1"/>
      <c r="M14" s="1"/>
      <c r="N14" s="1"/>
      <c r="O14" s="1"/>
      <c r="P14" s="1"/>
      <c r="Q14" s="2"/>
      <c r="S14" s="30">
        <f t="shared" si="0"/>
        <v>21</v>
      </c>
      <c r="T14" s="21" t="s">
        <v>14</v>
      </c>
      <c r="U14" s="26" t="s">
        <v>41</v>
      </c>
      <c r="W14" s="33" t="s">
        <v>72</v>
      </c>
    </row>
    <row r="15" spans="1:245" ht="15.75" x14ac:dyDescent="0.25">
      <c r="A15" s="37" t="s">
        <v>116</v>
      </c>
      <c r="C15" s="16">
        <v>25</v>
      </c>
      <c r="D15" s="17">
        <v>26</v>
      </c>
      <c r="E15" s="18">
        <v>27</v>
      </c>
      <c r="F15" s="18">
        <v>28</v>
      </c>
      <c r="G15" s="17">
        <v>29</v>
      </c>
      <c r="H15" s="19">
        <v>30</v>
      </c>
      <c r="I15" s="17">
        <v>31</v>
      </c>
      <c r="J15" s="18">
        <v>32</v>
      </c>
      <c r="K15" s="17">
        <v>33</v>
      </c>
      <c r="L15" s="17">
        <v>34</v>
      </c>
      <c r="M15" s="18">
        <v>35</v>
      </c>
      <c r="N15" s="17">
        <v>36</v>
      </c>
      <c r="O15" s="1"/>
      <c r="P15" s="1"/>
      <c r="Q15" s="2"/>
      <c r="S15" s="30">
        <f t="shared" si="0"/>
        <v>22</v>
      </c>
      <c r="T15" s="21" t="s">
        <v>15</v>
      </c>
      <c r="U15" s="26" t="s">
        <v>42</v>
      </c>
      <c r="W15" s="33" t="s">
        <v>73</v>
      </c>
      <c r="Y15" s="44">
        <v>2</v>
      </c>
      <c r="Z15" t="s">
        <v>85</v>
      </c>
    </row>
    <row r="16" spans="1:245" ht="15.75" x14ac:dyDescent="0.25">
      <c r="A16" s="37" t="s">
        <v>117</v>
      </c>
      <c r="C16" s="10">
        <v>1</v>
      </c>
      <c r="D16" s="7">
        <v>1</v>
      </c>
      <c r="E16" s="8">
        <v>1</v>
      </c>
      <c r="F16" s="7">
        <v>1</v>
      </c>
      <c r="G16" s="8"/>
      <c r="H16" s="7">
        <v>1</v>
      </c>
      <c r="I16" s="8">
        <v>1</v>
      </c>
      <c r="J16" s="7">
        <v>1</v>
      </c>
      <c r="K16" s="8">
        <v>1</v>
      </c>
      <c r="L16" s="7">
        <v>1</v>
      </c>
      <c r="M16" s="8">
        <v>1</v>
      </c>
      <c r="N16" s="7">
        <v>1</v>
      </c>
      <c r="O16" s="1"/>
      <c r="P16" s="1"/>
      <c r="Q16" s="2"/>
      <c r="S16" s="30">
        <f t="shared" si="0"/>
        <v>23</v>
      </c>
      <c r="T16" s="21" t="s">
        <v>16</v>
      </c>
      <c r="U16" s="26" t="s">
        <v>43</v>
      </c>
      <c r="W16" s="33" t="s">
        <v>74</v>
      </c>
    </row>
    <row r="17" spans="1:23" ht="15.75" x14ac:dyDescent="0.25">
      <c r="A17" s="37" t="s">
        <v>118</v>
      </c>
      <c r="C17" s="10">
        <v>1</v>
      </c>
      <c r="D17" s="7">
        <v>1</v>
      </c>
      <c r="E17" s="8">
        <v>1</v>
      </c>
      <c r="F17" s="7">
        <v>1</v>
      </c>
      <c r="G17" s="8"/>
      <c r="H17" s="7">
        <v>1</v>
      </c>
      <c r="I17" s="8">
        <v>1</v>
      </c>
      <c r="J17" s="7">
        <v>1</v>
      </c>
      <c r="K17" s="8">
        <v>1</v>
      </c>
      <c r="L17" s="7">
        <v>1</v>
      </c>
      <c r="M17" s="1"/>
      <c r="N17" s="7">
        <v>1</v>
      </c>
      <c r="O17" s="1"/>
      <c r="P17" s="1"/>
      <c r="Q17" s="2"/>
      <c r="S17" s="30">
        <f t="shared" si="0"/>
        <v>24</v>
      </c>
      <c r="T17" s="21" t="s">
        <v>17</v>
      </c>
      <c r="U17" s="26" t="s">
        <v>45</v>
      </c>
      <c r="W17" s="33" t="s">
        <v>75</v>
      </c>
    </row>
    <row r="18" spans="1:23" ht="15.75" x14ac:dyDescent="0.25">
      <c r="C18" s="10">
        <v>1</v>
      </c>
      <c r="D18" s="7">
        <v>1</v>
      </c>
      <c r="E18" s="8">
        <v>1</v>
      </c>
      <c r="F18" s="7">
        <v>1</v>
      </c>
      <c r="G18" s="7"/>
      <c r="H18" s="1"/>
      <c r="I18" s="8">
        <v>1</v>
      </c>
      <c r="J18" s="7">
        <v>1</v>
      </c>
      <c r="K18" s="7">
        <v>1</v>
      </c>
      <c r="L18" s="1"/>
      <c r="M18" s="1"/>
      <c r="N18" s="7">
        <v>1</v>
      </c>
      <c r="O18" s="1"/>
      <c r="P18" s="1"/>
      <c r="Q18" s="2"/>
      <c r="S18" s="30">
        <f t="shared" si="0"/>
        <v>25</v>
      </c>
      <c r="T18" s="21" t="s">
        <v>18</v>
      </c>
      <c r="U18" s="26" t="s">
        <v>44</v>
      </c>
      <c r="W18" s="33" t="s">
        <v>76</v>
      </c>
    </row>
    <row r="19" spans="1:23" ht="15.75" x14ac:dyDescent="0.25">
      <c r="A19" s="49" t="s">
        <v>89</v>
      </c>
      <c r="C19" s="10">
        <v>1</v>
      </c>
      <c r="D19" s="7">
        <v>1</v>
      </c>
      <c r="E19" s="8">
        <v>1</v>
      </c>
      <c r="F19" s="7">
        <v>1</v>
      </c>
      <c r="G19" s="7"/>
      <c r="H19" s="1"/>
      <c r="I19" s="8">
        <v>1</v>
      </c>
      <c r="J19" s="7">
        <v>1</v>
      </c>
      <c r="K19" s="7">
        <v>1</v>
      </c>
      <c r="L19" s="1"/>
      <c r="M19" s="1"/>
      <c r="N19" s="7">
        <v>1</v>
      </c>
      <c r="O19" s="1"/>
      <c r="P19" s="1"/>
      <c r="Q19" s="2"/>
      <c r="S19" s="30">
        <f t="shared" si="0"/>
        <v>26</v>
      </c>
      <c r="T19" s="21" t="s">
        <v>19</v>
      </c>
      <c r="U19" s="26" t="s">
        <v>46</v>
      </c>
      <c r="W19" s="33" t="s">
        <v>77</v>
      </c>
    </row>
    <row r="20" spans="1:23" ht="15.75" x14ac:dyDescent="0.25">
      <c r="A20" s="50" t="s">
        <v>90</v>
      </c>
      <c r="C20" s="3"/>
      <c r="D20" s="7">
        <v>1</v>
      </c>
      <c r="E20" s="8">
        <v>1</v>
      </c>
      <c r="F20" s="7">
        <v>1</v>
      </c>
      <c r="G20" s="7"/>
      <c r="H20" s="1"/>
      <c r="I20" s="8">
        <v>1</v>
      </c>
      <c r="J20" s="1"/>
      <c r="K20" s="7">
        <v>1</v>
      </c>
      <c r="L20" s="1"/>
      <c r="M20" s="1"/>
      <c r="N20" s="7">
        <v>1</v>
      </c>
      <c r="O20" s="1"/>
      <c r="P20" s="1"/>
      <c r="Q20" s="2"/>
      <c r="S20" s="30">
        <f t="shared" si="0"/>
        <v>27</v>
      </c>
      <c r="T20" s="21" t="s">
        <v>20</v>
      </c>
      <c r="U20" s="26" t="s">
        <v>47</v>
      </c>
      <c r="W20" s="33" t="s">
        <v>165</v>
      </c>
    </row>
    <row r="21" spans="1:23" ht="15.75" x14ac:dyDescent="0.25">
      <c r="A21" s="39" t="s">
        <v>91</v>
      </c>
      <c r="C21" s="3"/>
      <c r="D21" s="7">
        <v>1</v>
      </c>
      <c r="E21" s="8">
        <v>1</v>
      </c>
      <c r="F21" s="7">
        <v>1</v>
      </c>
      <c r="G21" s="7"/>
      <c r="H21" s="1"/>
      <c r="I21" s="8">
        <v>1</v>
      </c>
      <c r="J21" s="1"/>
      <c r="K21" s="7">
        <v>1</v>
      </c>
      <c r="L21" s="1"/>
      <c r="M21" s="1"/>
      <c r="N21" s="7">
        <v>1</v>
      </c>
      <c r="O21" s="1"/>
      <c r="P21" s="1"/>
      <c r="Q21" s="2"/>
      <c r="S21" s="30">
        <f t="shared" si="0"/>
        <v>28</v>
      </c>
      <c r="T21" s="21" t="s">
        <v>21</v>
      </c>
      <c r="U21" s="26" t="s">
        <v>48</v>
      </c>
      <c r="W21" s="33" t="s">
        <v>78</v>
      </c>
    </row>
    <row r="22" spans="1:23" ht="15.75" x14ac:dyDescent="0.25">
      <c r="C22" s="3"/>
      <c r="D22" s="7">
        <v>1</v>
      </c>
      <c r="E22" s="8">
        <v>1</v>
      </c>
      <c r="F22" s="7">
        <v>1</v>
      </c>
      <c r="G22" s="7"/>
      <c r="H22" s="1"/>
      <c r="I22" s="8">
        <v>1</v>
      </c>
      <c r="J22" s="1"/>
      <c r="K22" s="7">
        <v>1</v>
      </c>
      <c r="L22" s="1"/>
      <c r="M22" s="1"/>
      <c r="N22" s="7">
        <v>1</v>
      </c>
      <c r="O22" s="1"/>
      <c r="P22" s="1"/>
      <c r="Q22" s="2"/>
      <c r="S22" s="30">
        <f t="shared" si="0"/>
        <v>29</v>
      </c>
      <c r="T22" s="21" t="s">
        <v>22</v>
      </c>
      <c r="U22" s="26" t="s">
        <v>49</v>
      </c>
      <c r="W22" s="33" t="s">
        <v>79</v>
      </c>
    </row>
    <row r="23" spans="1:23" ht="15.75" x14ac:dyDescent="0.25">
      <c r="A23" s="55" t="s">
        <v>95</v>
      </c>
      <c r="C23" s="3"/>
      <c r="D23" s="7">
        <v>1</v>
      </c>
      <c r="E23" s="8">
        <v>1</v>
      </c>
      <c r="F23" s="7">
        <v>1</v>
      </c>
      <c r="G23" s="7"/>
      <c r="H23" s="1"/>
      <c r="I23" s="8">
        <v>1</v>
      </c>
      <c r="J23" s="1"/>
      <c r="K23" s="7">
        <v>1</v>
      </c>
      <c r="L23" s="1"/>
      <c r="M23" s="1"/>
      <c r="N23" s="7">
        <v>1</v>
      </c>
      <c r="O23" s="1"/>
      <c r="P23" s="1"/>
      <c r="Q23" s="2"/>
      <c r="S23" s="30">
        <f t="shared" si="0"/>
        <v>30</v>
      </c>
      <c r="T23" s="21" t="s">
        <v>23</v>
      </c>
      <c r="U23" s="26" t="s">
        <v>50</v>
      </c>
      <c r="W23" s="33" t="s">
        <v>80</v>
      </c>
    </row>
    <row r="24" spans="1:23" ht="15.75" x14ac:dyDescent="0.25">
      <c r="A24" s="56" t="s">
        <v>107</v>
      </c>
      <c r="C24" s="3"/>
      <c r="D24" s="7">
        <v>1</v>
      </c>
      <c r="E24" s="1"/>
      <c r="F24" s="7">
        <v>1</v>
      </c>
      <c r="G24" s="7"/>
      <c r="H24" s="1"/>
      <c r="I24" s="1"/>
      <c r="J24" s="1"/>
      <c r="K24" s="7">
        <v>1</v>
      </c>
      <c r="L24" s="1"/>
      <c r="M24" s="1"/>
      <c r="N24" s="7">
        <v>1</v>
      </c>
      <c r="O24" s="1"/>
      <c r="P24" s="1"/>
      <c r="Q24" s="2"/>
      <c r="S24" s="30">
        <f t="shared" si="0"/>
        <v>31</v>
      </c>
      <c r="T24" s="21" t="s">
        <v>24</v>
      </c>
      <c r="U24" s="26" t="s">
        <v>51</v>
      </c>
      <c r="W24" s="33" t="s">
        <v>397</v>
      </c>
    </row>
    <row r="25" spans="1:23" ht="15.75" x14ac:dyDescent="0.25">
      <c r="A25" s="56" t="s">
        <v>108</v>
      </c>
      <c r="C25" s="3"/>
      <c r="D25" s="7">
        <v>1</v>
      </c>
      <c r="E25" s="1"/>
      <c r="F25" s="7">
        <v>1</v>
      </c>
      <c r="G25" s="7"/>
      <c r="H25" s="1"/>
      <c r="I25" s="1"/>
      <c r="J25" s="1"/>
      <c r="K25" s="7">
        <v>1</v>
      </c>
      <c r="L25" s="1"/>
      <c r="M25" s="1"/>
      <c r="N25" s="1"/>
      <c r="O25" s="1"/>
      <c r="P25" s="1"/>
      <c r="Q25" s="2"/>
      <c r="S25" s="30">
        <f t="shared" si="0"/>
        <v>32</v>
      </c>
      <c r="T25" s="21" t="s">
        <v>25</v>
      </c>
      <c r="U25" s="26" t="s">
        <v>52</v>
      </c>
      <c r="W25" s="33" t="s">
        <v>81</v>
      </c>
    </row>
    <row r="26" spans="1:23" ht="15.75" x14ac:dyDescent="0.25">
      <c r="A26" s="56" t="s">
        <v>383</v>
      </c>
      <c r="C26" s="3"/>
      <c r="D26" s="7">
        <v>1</v>
      </c>
      <c r="E26" s="1"/>
      <c r="F26" s="7">
        <v>1</v>
      </c>
      <c r="G26" s="7"/>
      <c r="H26" s="1"/>
      <c r="I26" s="1"/>
      <c r="J26" s="1"/>
      <c r="K26" s="7">
        <v>1</v>
      </c>
      <c r="L26" s="1"/>
      <c r="M26" s="1"/>
      <c r="N26" s="1"/>
      <c r="O26" s="1"/>
      <c r="P26" s="1"/>
      <c r="Q26" s="2"/>
      <c r="S26" s="30">
        <f t="shared" si="0"/>
        <v>33</v>
      </c>
      <c r="T26" s="21" t="s">
        <v>26</v>
      </c>
      <c r="U26" s="26" t="s">
        <v>53</v>
      </c>
      <c r="W26" s="33" t="s">
        <v>194</v>
      </c>
    </row>
    <row r="27" spans="1:23" ht="15.75" x14ac:dyDescent="0.25">
      <c r="C27" s="3"/>
      <c r="D27" s="1"/>
      <c r="E27" s="1"/>
      <c r="F27" s="7">
        <v>1</v>
      </c>
      <c r="G27" s="7"/>
      <c r="H27" s="1"/>
      <c r="I27" s="1"/>
      <c r="J27" s="1"/>
      <c r="K27" s="7">
        <v>1</v>
      </c>
      <c r="L27" s="1"/>
      <c r="M27" s="1"/>
      <c r="N27" s="1"/>
      <c r="O27" s="1"/>
      <c r="P27" s="1"/>
      <c r="Q27" s="2"/>
      <c r="S27" s="30">
        <f t="shared" si="0"/>
        <v>34</v>
      </c>
      <c r="T27" s="21" t="s">
        <v>27</v>
      </c>
      <c r="U27" s="26" t="s">
        <v>54</v>
      </c>
      <c r="W27" s="33" t="s">
        <v>309</v>
      </c>
    </row>
    <row r="28" spans="1:23" ht="15.75" x14ac:dyDescent="0.25">
      <c r="C28" s="3"/>
      <c r="D28" s="1"/>
      <c r="E28" s="1"/>
      <c r="F28" s="1"/>
      <c r="G28" s="7"/>
      <c r="H28" s="1"/>
      <c r="I28" s="1"/>
      <c r="J28" s="1"/>
      <c r="K28" s="1"/>
      <c r="L28" s="1"/>
      <c r="M28" s="1"/>
      <c r="N28" s="1"/>
      <c r="O28" s="1"/>
      <c r="P28" s="1"/>
      <c r="Q28" s="2"/>
      <c r="S28" s="30">
        <f t="shared" si="0"/>
        <v>35</v>
      </c>
      <c r="T28" s="21" t="s">
        <v>28</v>
      </c>
      <c r="U28" s="26" t="s">
        <v>55</v>
      </c>
      <c r="W28" s="33" t="s">
        <v>386</v>
      </c>
    </row>
    <row r="29" spans="1:23" ht="16.5" thickBot="1" x14ac:dyDescent="0.3">
      <c r="C29" s="3"/>
      <c r="D29" s="1"/>
      <c r="E29" s="1"/>
      <c r="F29" s="1"/>
      <c r="G29" s="7"/>
      <c r="H29" s="1"/>
      <c r="I29" s="1"/>
      <c r="J29" s="1"/>
      <c r="K29" s="1"/>
      <c r="L29" s="1"/>
      <c r="M29" s="1"/>
      <c r="N29" s="1"/>
      <c r="O29" s="1"/>
      <c r="P29" s="1"/>
      <c r="Q29" s="2"/>
      <c r="S29" s="31">
        <f>S28+1</f>
        <v>36</v>
      </c>
      <c r="T29" s="27" t="s">
        <v>29</v>
      </c>
      <c r="U29" s="28" t="s">
        <v>56</v>
      </c>
      <c r="W29" s="33" t="s">
        <v>170</v>
      </c>
    </row>
    <row r="30" spans="1:23" ht="16.5" thickTop="1" thickBot="1" x14ac:dyDescent="0.3">
      <c r="C30" s="3"/>
      <c r="D30" s="1"/>
      <c r="E30" s="1"/>
      <c r="F30" s="1"/>
      <c r="G30" s="7"/>
      <c r="H30" s="1"/>
      <c r="I30" s="1"/>
      <c r="J30" s="1"/>
      <c r="K30" s="1"/>
      <c r="L30" s="1"/>
      <c r="M30" s="1"/>
      <c r="N30" s="1"/>
      <c r="O30" s="1"/>
      <c r="P30" s="1"/>
      <c r="Q30" s="2"/>
      <c r="W30" s="33" t="s">
        <v>160</v>
      </c>
    </row>
    <row r="31" spans="1:23" ht="17.25" thickTop="1" thickBot="1" x14ac:dyDescent="0.3">
      <c r="C31" s="3"/>
      <c r="D31" s="1"/>
      <c r="E31" s="1"/>
      <c r="F31" s="1"/>
      <c r="G31" s="7"/>
      <c r="H31" s="1"/>
      <c r="I31" s="1"/>
      <c r="J31" s="1"/>
      <c r="K31" s="1"/>
      <c r="L31" s="1"/>
      <c r="M31" s="1"/>
      <c r="N31" s="1"/>
      <c r="O31" s="1"/>
      <c r="P31" s="1"/>
      <c r="Q31" s="2"/>
      <c r="S31" s="29"/>
      <c r="T31" s="58" t="s">
        <v>119</v>
      </c>
      <c r="W31" s="33" t="s">
        <v>82</v>
      </c>
    </row>
    <row r="32" spans="1:23" ht="16.5" thickTop="1" x14ac:dyDescent="0.25">
      <c r="C32" s="3"/>
      <c r="D32" s="1"/>
      <c r="E32" s="1"/>
      <c r="F32" s="1"/>
      <c r="G32" s="7"/>
      <c r="H32" s="1"/>
      <c r="I32" s="1"/>
      <c r="J32" s="1"/>
      <c r="K32" s="1"/>
      <c r="L32" s="1"/>
      <c r="M32" s="1"/>
      <c r="N32" s="1"/>
      <c r="O32" s="1"/>
      <c r="P32" s="1"/>
      <c r="Q32" s="2"/>
      <c r="S32" s="29">
        <v>10</v>
      </c>
      <c r="T32" s="58" t="s">
        <v>121</v>
      </c>
    </row>
    <row r="33" spans="2:20" ht="15.75" x14ac:dyDescent="0.25">
      <c r="C33" s="3"/>
      <c r="D33" s="1"/>
      <c r="E33" s="1"/>
      <c r="F33" s="1"/>
      <c r="G33" s="7"/>
      <c r="H33" s="1"/>
      <c r="I33" s="1"/>
      <c r="J33" s="1"/>
      <c r="K33" s="1"/>
      <c r="L33" s="1"/>
      <c r="M33" s="1"/>
      <c r="N33" s="1"/>
      <c r="O33" s="1"/>
      <c r="P33" s="1"/>
      <c r="Q33" s="2"/>
      <c r="S33" s="30">
        <v>10</v>
      </c>
      <c r="T33" s="26" t="s">
        <v>30</v>
      </c>
    </row>
    <row r="34" spans="2:20" ht="16.5" thickBot="1" x14ac:dyDescent="0.3">
      <c r="C34" s="4"/>
      <c r="D34" s="5"/>
      <c r="E34" s="5"/>
      <c r="F34" s="5"/>
      <c r="G34" s="11"/>
      <c r="H34" s="5"/>
      <c r="I34" s="5"/>
      <c r="J34" s="5"/>
      <c r="K34" s="5"/>
      <c r="L34" s="5"/>
      <c r="M34" s="5"/>
      <c r="N34" s="5"/>
      <c r="O34" s="5"/>
      <c r="P34" s="5"/>
      <c r="Q34" s="6"/>
      <c r="S34" s="30">
        <f t="shared" ref="S34:S84" si="1">S33+1</f>
        <v>11</v>
      </c>
      <c r="T34" s="26" t="s">
        <v>122</v>
      </c>
    </row>
    <row r="35" spans="2:20" ht="16.5" thickTop="1" x14ac:dyDescent="0.25">
      <c r="S35" s="30">
        <v>11</v>
      </c>
      <c r="T35" s="26" t="s">
        <v>31</v>
      </c>
    </row>
    <row r="36" spans="2:20" ht="15.75" x14ac:dyDescent="0.25">
      <c r="S36" s="30">
        <f t="shared" si="1"/>
        <v>12</v>
      </c>
      <c r="T36" s="26" t="s">
        <v>123</v>
      </c>
    </row>
    <row r="37" spans="2:20" ht="15.75" x14ac:dyDescent="0.25">
      <c r="C37" s="48">
        <f ca="1">NOW()</f>
        <v>44601.606509027777</v>
      </c>
      <c r="D37" s="34"/>
      <c r="S37" s="30">
        <v>12</v>
      </c>
      <c r="T37" s="26" t="s">
        <v>32</v>
      </c>
    </row>
    <row r="38" spans="2:20" ht="15.75" x14ac:dyDescent="0.25">
      <c r="S38" s="30">
        <f t="shared" si="1"/>
        <v>13</v>
      </c>
      <c r="T38" s="26" t="s">
        <v>124</v>
      </c>
    </row>
    <row r="39" spans="2:20" ht="15.75" x14ac:dyDescent="0.25">
      <c r="S39" s="30">
        <v>13</v>
      </c>
      <c r="T39" s="26" t="s">
        <v>33</v>
      </c>
    </row>
    <row r="40" spans="2:20" ht="15.75" x14ac:dyDescent="0.25">
      <c r="S40" s="30">
        <f t="shared" si="1"/>
        <v>14</v>
      </c>
      <c r="T40" s="26" t="s">
        <v>125</v>
      </c>
    </row>
    <row r="41" spans="2:20" ht="15.75" x14ac:dyDescent="0.25">
      <c r="S41" s="30">
        <v>14</v>
      </c>
      <c r="T41" s="26" t="s">
        <v>34</v>
      </c>
    </row>
    <row r="42" spans="2:20" ht="15.75" x14ac:dyDescent="0.25">
      <c r="S42" s="30">
        <f t="shared" si="1"/>
        <v>15</v>
      </c>
      <c r="T42" s="26" t="s">
        <v>126</v>
      </c>
    </row>
    <row r="43" spans="2:20" ht="15.75" x14ac:dyDescent="0.25">
      <c r="S43" s="30">
        <v>15</v>
      </c>
      <c r="T43" s="26" t="s">
        <v>35</v>
      </c>
    </row>
    <row r="44" spans="2:20" ht="15.75" x14ac:dyDescent="0.25">
      <c r="S44" s="30">
        <f t="shared" si="1"/>
        <v>16</v>
      </c>
      <c r="T44" s="26" t="s">
        <v>127</v>
      </c>
    </row>
    <row r="45" spans="2:20" ht="15.75" x14ac:dyDescent="0.25">
      <c r="S45" s="30">
        <v>16</v>
      </c>
      <c r="T45" s="26" t="s">
        <v>36</v>
      </c>
    </row>
    <row r="46" spans="2:20" ht="15.75" x14ac:dyDescent="0.25">
      <c r="B46" s="34"/>
      <c r="S46" s="30">
        <f t="shared" si="1"/>
        <v>17</v>
      </c>
      <c r="T46" s="26" t="s">
        <v>128</v>
      </c>
    </row>
    <row r="47" spans="2:20" ht="15.75" x14ac:dyDescent="0.25">
      <c r="S47" s="30">
        <v>17</v>
      </c>
      <c r="T47" s="26" t="s">
        <v>37</v>
      </c>
    </row>
    <row r="48" spans="2:20" ht="15.75" x14ac:dyDescent="0.25">
      <c r="S48" s="30">
        <f t="shared" si="1"/>
        <v>18</v>
      </c>
      <c r="T48" s="26" t="s">
        <v>129</v>
      </c>
    </row>
    <row r="49" spans="19:20" ht="15.75" x14ac:dyDescent="0.25">
      <c r="S49" s="30">
        <v>18</v>
      </c>
      <c r="T49" s="26" t="s">
        <v>38</v>
      </c>
    </row>
    <row r="50" spans="19:20" ht="15.75" x14ac:dyDescent="0.25">
      <c r="S50" s="30">
        <f t="shared" si="1"/>
        <v>19</v>
      </c>
      <c r="T50" s="26" t="s">
        <v>130</v>
      </c>
    </row>
    <row r="51" spans="19:20" ht="15.75" x14ac:dyDescent="0.25">
      <c r="S51" s="30">
        <v>19</v>
      </c>
      <c r="T51" s="26" t="s">
        <v>39</v>
      </c>
    </row>
    <row r="52" spans="19:20" ht="15.75" x14ac:dyDescent="0.25">
      <c r="S52" s="30">
        <f t="shared" si="1"/>
        <v>20</v>
      </c>
      <c r="T52" s="26" t="s">
        <v>131</v>
      </c>
    </row>
    <row r="53" spans="19:20" ht="15.75" x14ac:dyDescent="0.25">
      <c r="S53" s="30">
        <v>20</v>
      </c>
      <c r="T53" s="26" t="s">
        <v>40</v>
      </c>
    </row>
    <row r="54" spans="19:20" ht="15.75" x14ac:dyDescent="0.25">
      <c r="S54" s="30">
        <f t="shared" si="1"/>
        <v>21</v>
      </c>
      <c r="T54" s="26" t="s">
        <v>132</v>
      </c>
    </row>
    <row r="55" spans="19:20" ht="15.75" x14ac:dyDescent="0.25">
      <c r="S55" s="30">
        <v>21</v>
      </c>
      <c r="T55" s="26" t="s">
        <v>41</v>
      </c>
    </row>
    <row r="56" spans="19:20" ht="15.75" x14ac:dyDescent="0.25">
      <c r="S56" s="30">
        <f t="shared" si="1"/>
        <v>22</v>
      </c>
      <c r="T56" s="26" t="s">
        <v>133</v>
      </c>
    </row>
    <row r="57" spans="19:20" ht="15.75" x14ac:dyDescent="0.25">
      <c r="S57" s="30">
        <v>22</v>
      </c>
      <c r="T57" s="26" t="s">
        <v>42</v>
      </c>
    </row>
    <row r="58" spans="19:20" ht="15.75" x14ac:dyDescent="0.25">
      <c r="S58" s="30">
        <f t="shared" si="1"/>
        <v>23</v>
      </c>
      <c r="T58" s="26" t="s">
        <v>134</v>
      </c>
    </row>
    <row r="59" spans="19:20" ht="15.75" x14ac:dyDescent="0.25">
      <c r="S59" s="30">
        <v>23</v>
      </c>
      <c r="T59" s="26" t="s">
        <v>43</v>
      </c>
    </row>
    <row r="60" spans="19:20" ht="15.75" x14ac:dyDescent="0.25">
      <c r="S60" s="30">
        <f t="shared" si="1"/>
        <v>24</v>
      </c>
      <c r="T60" s="26" t="s">
        <v>135</v>
      </c>
    </row>
    <row r="61" spans="19:20" ht="15.75" x14ac:dyDescent="0.25">
      <c r="S61" s="30">
        <v>24</v>
      </c>
      <c r="T61" s="26" t="s">
        <v>45</v>
      </c>
    </row>
    <row r="62" spans="19:20" ht="15.75" x14ac:dyDescent="0.25">
      <c r="S62" s="30">
        <f t="shared" si="1"/>
        <v>25</v>
      </c>
      <c r="T62" s="26" t="s">
        <v>136</v>
      </c>
    </row>
    <row r="63" spans="19:20" ht="15.75" x14ac:dyDescent="0.25">
      <c r="S63" s="30">
        <v>25</v>
      </c>
      <c r="T63" s="26" t="s">
        <v>44</v>
      </c>
    </row>
    <row r="64" spans="19:20" ht="15.75" x14ac:dyDescent="0.25">
      <c r="S64" s="30">
        <f t="shared" si="1"/>
        <v>26</v>
      </c>
      <c r="T64" s="26" t="s">
        <v>137</v>
      </c>
    </row>
    <row r="65" spans="19:20" ht="15.75" x14ac:dyDescent="0.25">
      <c r="S65" s="30">
        <v>26</v>
      </c>
      <c r="T65" s="26" t="s">
        <v>46</v>
      </c>
    </row>
    <row r="66" spans="19:20" ht="15.75" x14ac:dyDescent="0.25">
      <c r="S66" s="30">
        <f t="shared" si="1"/>
        <v>27</v>
      </c>
      <c r="T66" s="26" t="s">
        <v>138</v>
      </c>
    </row>
    <row r="67" spans="19:20" ht="15.75" x14ac:dyDescent="0.25">
      <c r="S67" s="30">
        <v>27</v>
      </c>
      <c r="T67" s="26" t="s">
        <v>47</v>
      </c>
    </row>
    <row r="68" spans="19:20" ht="15.75" x14ac:dyDescent="0.25">
      <c r="S68" s="30">
        <f t="shared" si="1"/>
        <v>28</v>
      </c>
      <c r="T68" s="26" t="s">
        <v>139</v>
      </c>
    </row>
    <row r="69" spans="19:20" ht="15.75" x14ac:dyDescent="0.25">
      <c r="S69" s="30">
        <v>28</v>
      </c>
      <c r="T69" s="26" t="s">
        <v>48</v>
      </c>
    </row>
    <row r="70" spans="19:20" ht="15.75" x14ac:dyDescent="0.25">
      <c r="S70" s="30">
        <f t="shared" si="1"/>
        <v>29</v>
      </c>
      <c r="T70" s="26" t="s">
        <v>140</v>
      </c>
    </row>
    <row r="71" spans="19:20" ht="15.75" x14ac:dyDescent="0.25">
      <c r="S71" s="30">
        <v>29</v>
      </c>
      <c r="T71" s="26" t="s">
        <v>49</v>
      </c>
    </row>
    <row r="72" spans="19:20" ht="15.75" x14ac:dyDescent="0.25">
      <c r="S72" s="30">
        <f t="shared" si="1"/>
        <v>30</v>
      </c>
      <c r="T72" s="26" t="s">
        <v>141</v>
      </c>
    </row>
    <row r="73" spans="19:20" ht="15.75" x14ac:dyDescent="0.25">
      <c r="S73" s="30">
        <v>30</v>
      </c>
      <c r="T73" s="26" t="s">
        <v>50</v>
      </c>
    </row>
    <row r="74" spans="19:20" ht="15.75" x14ac:dyDescent="0.25">
      <c r="S74" s="30">
        <f t="shared" si="1"/>
        <v>31</v>
      </c>
      <c r="T74" s="26" t="s">
        <v>142</v>
      </c>
    </row>
    <row r="75" spans="19:20" ht="15.75" x14ac:dyDescent="0.25">
      <c r="S75" s="30">
        <v>31</v>
      </c>
      <c r="T75" s="26" t="s">
        <v>51</v>
      </c>
    </row>
    <row r="76" spans="19:20" ht="15.75" x14ac:dyDescent="0.25">
      <c r="S76" s="30">
        <f t="shared" si="1"/>
        <v>32</v>
      </c>
      <c r="T76" s="26" t="s">
        <v>143</v>
      </c>
    </row>
    <row r="77" spans="19:20" ht="15.75" x14ac:dyDescent="0.25">
      <c r="S77" s="30">
        <v>32</v>
      </c>
      <c r="T77" s="26" t="s">
        <v>52</v>
      </c>
    </row>
    <row r="78" spans="19:20" ht="15.75" x14ac:dyDescent="0.25">
      <c r="S78" s="30">
        <f t="shared" si="1"/>
        <v>33</v>
      </c>
      <c r="T78" s="26" t="s">
        <v>144</v>
      </c>
    </row>
    <row r="79" spans="19:20" ht="15.75" x14ac:dyDescent="0.25">
      <c r="S79" s="30">
        <v>33</v>
      </c>
      <c r="T79" s="26" t="s">
        <v>53</v>
      </c>
    </row>
    <row r="80" spans="19:20" ht="15.75" x14ac:dyDescent="0.25">
      <c r="S80" s="30">
        <f t="shared" si="1"/>
        <v>34</v>
      </c>
      <c r="T80" s="26" t="s">
        <v>145</v>
      </c>
    </row>
    <row r="81" spans="19:20" ht="15.75" x14ac:dyDescent="0.25">
      <c r="S81" s="30">
        <v>34</v>
      </c>
      <c r="T81" s="26" t="s">
        <v>54</v>
      </c>
    </row>
    <row r="82" spans="19:20" ht="15.75" x14ac:dyDescent="0.25">
      <c r="S82" s="30">
        <f t="shared" si="1"/>
        <v>35</v>
      </c>
      <c r="T82" s="26" t="s">
        <v>146</v>
      </c>
    </row>
    <row r="83" spans="19:20" ht="15.75" x14ac:dyDescent="0.25">
      <c r="S83" s="30">
        <v>35</v>
      </c>
      <c r="T83" s="26" t="s">
        <v>55</v>
      </c>
    </row>
    <row r="84" spans="19:20" ht="15.75" x14ac:dyDescent="0.25">
      <c r="S84" s="30">
        <f t="shared" si="1"/>
        <v>36</v>
      </c>
      <c r="T84" s="26" t="s">
        <v>147</v>
      </c>
    </row>
    <row r="85" spans="19:20" ht="16.5" thickBot="1" x14ac:dyDescent="0.3">
      <c r="S85" s="31">
        <v>36</v>
      </c>
      <c r="T85" s="28" t="s">
        <v>120</v>
      </c>
    </row>
    <row r="86" spans="19:20" ht="15.75" thickTop="1" x14ac:dyDescent="0.25"/>
  </sheetData>
  <mergeCells count="2">
    <mergeCell ref="C1:Q1"/>
    <mergeCell ref="S1:U1"/>
  </mergeCells>
  <phoneticPr fontId="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testCarNumber">
                <anchor moveWithCells="1" sizeWithCells="1">
                  <from>
                    <xdr:col>24</xdr:col>
                    <xdr:colOff>19050</xdr:colOff>
                    <xdr:row>16</xdr:row>
                    <xdr:rowOff>76200</xdr:rowOff>
                  </from>
                  <to>
                    <xdr:col>27</xdr:col>
                    <xdr:colOff>123825</xdr:colOff>
                    <xdr:row>19</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F22E2-8A90-4AB8-8E26-6A927FE06990}">
  <sheetPr codeName="Sheet4"/>
  <dimension ref="C1:Q35"/>
  <sheetViews>
    <sheetView zoomScaleNormal="100" workbookViewId="0">
      <selection activeCell="N10" sqref="N10"/>
    </sheetView>
  </sheetViews>
  <sheetFormatPr defaultRowHeight="15" x14ac:dyDescent="0.25"/>
  <sheetData>
    <row r="1" spans="3:17" ht="17.25" thickTop="1" thickBot="1" x14ac:dyDescent="0.3">
      <c r="C1" s="103" t="s">
        <v>1</v>
      </c>
      <c r="D1" s="104"/>
      <c r="E1" s="104"/>
      <c r="F1" s="104"/>
      <c r="G1" s="104"/>
      <c r="H1" s="104"/>
      <c r="I1" s="104"/>
      <c r="J1" s="104"/>
      <c r="K1" s="104"/>
      <c r="L1" s="104"/>
      <c r="M1" s="104"/>
      <c r="N1" s="104"/>
      <c r="O1" s="104"/>
      <c r="P1" s="104"/>
      <c r="Q1" s="105"/>
    </row>
    <row r="2" spans="3:17" ht="16.5" thickTop="1" x14ac:dyDescent="0.25">
      <c r="C2" s="12">
        <v>10</v>
      </c>
      <c r="D2" s="13">
        <v>11</v>
      </c>
      <c r="E2" s="14">
        <v>12</v>
      </c>
      <c r="F2" s="13">
        <v>13</v>
      </c>
      <c r="G2" s="14">
        <v>14</v>
      </c>
      <c r="H2" s="13">
        <v>15</v>
      </c>
      <c r="I2" s="13">
        <v>16</v>
      </c>
      <c r="J2" s="14">
        <v>17</v>
      </c>
      <c r="K2" s="13">
        <v>18</v>
      </c>
      <c r="L2" s="13">
        <v>19</v>
      </c>
      <c r="M2" s="14">
        <v>20</v>
      </c>
      <c r="N2" s="13">
        <v>21</v>
      </c>
      <c r="O2" s="13">
        <v>22</v>
      </c>
      <c r="P2" s="13">
        <v>23</v>
      </c>
      <c r="Q2" s="15">
        <v>24</v>
      </c>
    </row>
    <row r="3" spans="3:17" x14ac:dyDescent="0.25">
      <c r="C3" s="9">
        <v>1</v>
      </c>
      <c r="D3" s="20">
        <v>-1</v>
      </c>
      <c r="E3" s="20">
        <v>1</v>
      </c>
      <c r="F3" s="20">
        <v>-1</v>
      </c>
      <c r="G3" s="20">
        <v>1</v>
      </c>
      <c r="H3" s="20">
        <v>-1</v>
      </c>
      <c r="I3" s="20">
        <v>1</v>
      </c>
      <c r="J3" s="20">
        <v>1</v>
      </c>
      <c r="K3" s="20">
        <v>1</v>
      </c>
      <c r="L3" s="20">
        <v>1</v>
      </c>
      <c r="M3" s="20"/>
      <c r="N3" s="20">
        <v>-1</v>
      </c>
      <c r="O3" s="20">
        <v>1</v>
      </c>
      <c r="P3" s="20"/>
      <c r="Q3" s="32">
        <v>-1</v>
      </c>
    </row>
    <row r="4" spans="3:17" x14ac:dyDescent="0.25">
      <c r="C4" s="9">
        <v>1</v>
      </c>
      <c r="D4" s="20"/>
      <c r="E4" s="1"/>
      <c r="F4" s="7">
        <v>1</v>
      </c>
      <c r="G4" s="1"/>
      <c r="H4" s="7">
        <v>-1</v>
      </c>
      <c r="I4" s="7">
        <v>1</v>
      </c>
      <c r="J4" s="1"/>
      <c r="K4" s="7">
        <v>1</v>
      </c>
      <c r="L4" s="1"/>
      <c r="M4" s="7"/>
      <c r="N4" s="7">
        <v>-1</v>
      </c>
      <c r="O4" s="7">
        <v>-1</v>
      </c>
      <c r="P4" s="1"/>
      <c r="Q4" s="2"/>
    </row>
    <row r="5" spans="3:17" x14ac:dyDescent="0.25">
      <c r="C5" s="9">
        <v>1</v>
      </c>
      <c r="D5" s="1"/>
      <c r="E5" s="1"/>
      <c r="F5" s="7">
        <v>1</v>
      </c>
      <c r="G5" s="1"/>
      <c r="H5" s="7">
        <v>1</v>
      </c>
      <c r="I5" s="7">
        <v>1</v>
      </c>
      <c r="J5" s="1"/>
      <c r="K5" s="1"/>
      <c r="L5" s="1"/>
      <c r="M5" s="1"/>
      <c r="N5" s="7">
        <v>-1</v>
      </c>
      <c r="O5" s="7">
        <v>1</v>
      </c>
      <c r="P5" s="1"/>
      <c r="Q5" s="2"/>
    </row>
    <row r="6" spans="3:17" x14ac:dyDescent="0.25">
      <c r="C6" s="9">
        <v>-1</v>
      </c>
      <c r="D6" s="1"/>
      <c r="E6" s="1"/>
      <c r="F6" s="7">
        <v>1</v>
      </c>
      <c r="G6" s="1"/>
      <c r="H6" s="7"/>
      <c r="I6" s="7">
        <v>1</v>
      </c>
      <c r="J6" s="1"/>
      <c r="K6" s="1"/>
      <c r="L6" s="1"/>
      <c r="M6" s="1"/>
      <c r="N6" s="7">
        <v>-1</v>
      </c>
      <c r="O6" s="7"/>
      <c r="P6" s="1"/>
      <c r="Q6" s="2"/>
    </row>
    <row r="7" spans="3:17" x14ac:dyDescent="0.25">
      <c r="C7" s="9">
        <v>1</v>
      </c>
      <c r="D7" s="1"/>
      <c r="E7" s="1"/>
      <c r="F7" s="1"/>
      <c r="G7" s="1"/>
      <c r="H7" s="7">
        <v>1</v>
      </c>
      <c r="I7" s="7">
        <v>1</v>
      </c>
      <c r="J7" s="1"/>
      <c r="K7" s="1"/>
      <c r="L7" s="1"/>
      <c r="M7" s="1"/>
      <c r="N7" s="7">
        <v>-1</v>
      </c>
      <c r="O7" s="1"/>
      <c r="P7" s="1"/>
      <c r="Q7" s="2"/>
    </row>
    <row r="8" spans="3:17" x14ac:dyDescent="0.25">
      <c r="C8" s="9"/>
      <c r="D8" s="1"/>
      <c r="E8" s="1"/>
      <c r="F8" s="1"/>
      <c r="G8" s="1"/>
      <c r="H8" s="7">
        <v>1</v>
      </c>
      <c r="I8" s="7">
        <v>1</v>
      </c>
      <c r="J8" s="1"/>
      <c r="K8" s="1"/>
      <c r="L8" s="1"/>
      <c r="M8" s="1"/>
      <c r="N8" s="7">
        <v>-1</v>
      </c>
      <c r="O8" s="1"/>
      <c r="P8" s="1"/>
      <c r="Q8" s="2"/>
    </row>
    <row r="9" spans="3:17" x14ac:dyDescent="0.25">
      <c r="C9" s="9"/>
      <c r="D9" s="1"/>
      <c r="E9" s="1"/>
      <c r="F9" s="1"/>
      <c r="G9" s="1"/>
      <c r="H9" s="7">
        <v>1</v>
      </c>
      <c r="I9" s="7">
        <v>1</v>
      </c>
      <c r="J9" s="1"/>
      <c r="K9" s="1"/>
      <c r="L9" s="1"/>
      <c r="M9" s="1"/>
      <c r="N9" s="7">
        <v>-1</v>
      </c>
      <c r="O9" s="1"/>
      <c r="P9" s="1"/>
      <c r="Q9" s="2"/>
    </row>
    <row r="10" spans="3:17" x14ac:dyDescent="0.25">
      <c r="C10" s="9"/>
      <c r="D10" s="1"/>
      <c r="E10" s="1"/>
      <c r="F10" s="1"/>
      <c r="G10" s="1"/>
      <c r="H10" s="7">
        <v>1</v>
      </c>
      <c r="I10" s="7">
        <v>1</v>
      </c>
      <c r="J10" s="1"/>
      <c r="K10" s="1"/>
      <c r="L10" s="1"/>
      <c r="M10" s="1"/>
      <c r="N10" s="1"/>
      <c r="O10" s="1"/>
      <c r="P10" s="1"/>
      <c r="Q10" s="2"/>
    </row>
    <row r="11" spans="3:17" x14ac:dyDescent="0.25">
      <c r="C11" s="9">
        <v>1</v>
      </c>
      <c r="D11" s="1"/>
      <c r="E11" s="1"/>
      <c r="F11" s="1"/>
      <c r="G11" s="1"/>
      <c r="H11" s="7">
        <v>-1</v>
      </c>
      <c r="I11" s="7">
        <v>1</v>
      </c>
      <c r="J11" s="1"/>
      <c r="K11" s="1"/>
      <c r="L11" s="1"/>
      <c r="M11" s="1"/>
      <c r="N11" s="1"/>
      <c r="O11" s="1"/>
      <c r="P11" s="1"/>
      <c r="Q11" s="2"/>
    </row>
    <row r="12" spans="3:17" x14ac:dyDescent="0.25">
      <c r="C12" s="3"/>
      <c r="D12" s="1"/>
      <c r="E12" s="1"/>
      <c r="F12" s="1"/>
      <c r="G12" s="1"/>
      <c r="H12" s="7">
        <v>1</v>
      </c>
      <c r="I12" s="7">
        <v>1</v>
      </c>
      <c r="J12" s="1"/>
      <c r="K12" s="1"/>
      <c r="L12" s="1"/>
      <c r="M12" s="1"/>
      <c r="N12" s="1"/>
      <c r="O12" s="1"/>
      <c r="P12" s="1"/>
      <c r="Q12" s="2"/>
    </row>
    <row r="13" spans="3:17" x14ac:dyDescent="0.25">
      <c r="C13" s="3"/>
      <c r="D13" s="1"/>
      <c r="E13" s="1"/>
      <c r="F13" s="1"/>
      <c r="G13" s="1"/>
      <c r="H13" s="7"/>
      <c r="I13" s="1"/>
      <c r="J13" s="1"/>
      <c r="K13" s="1"/>
      <c r="L13" s="1"/>
      <c r="M13" s="1"/>
      <c r="N13" s="1"/>
      <c r="O13" s="1"/>
      <c r="P13" s="1"/>
      <c r="Q13" s="2"/>
    </row>
    <row r="14" spans="3:17" x14ac:dyDescent="0.25">
      <c r="C14" s="3"/>
      <c r="D14" s="1"/>
      <c r="E14" s="1"/>
      <c r="F14" s="1"/>
      <c r="G14" s="1"/>
      <c r="H14" s="7">
        <v>-1</v>
      </c>
      <c r="I14" s="1"/>
      <c r="J14" s="1"/>
      <c r="K14" s="1"/>
      <c r="L14" s="1"/>
      <c r="M14" s="1"/>
      <c r="N14" s="1"/>
      <c r="O14" s="1"/>
      <c r="P14" s="1"/>
      <c r="Q14" s="2"/>
    </row>
    <row r="15" spans="3:17" ht="15.75" x14ac:dyDescent="0.25">
      <c r="C15" s="16">
        <v>25</v>
      </c>
      <c r="D15" s="17">
        <v>26</v>
      </c>
      <c r="E15" s="18">
        <v>27</v>
      </c>
      <c r="F15" s="18">
        <v>28</v>
      </c>
      <c r="G15" s="17">
        <v>29</v>
      </c>
      <c r="H15" s="19">
        <v>30</v>
      </c>
      <c r="I15" s="17">
        <v>31</v>
      </c>
      <c r="J15" s="18">
        <v>32</v>
      </c>
      <c r="K15" s="17">
        <v>33</v>
      </c>
      <c r="L15" s="17">
        <v>34</v>
      </c>
      <c r="M15" s="18">
        <v>35</v>
      </c>
      <c r="N15" s="17">
        <v>36</v>
      </c>
      <c r="O15" s="1"/>
      <c r="P15" s="1"/>
      <c r="Q15" s="2"/>
    </row>
    <row r="16" spans="3:17" x14ac:dyDescent="0.25">
      <c r="C16" s="10">
        <v>1</v>
      </c>
      <c r="D16" s="7">
        <v>1</v>
      </c>
      <c r="E16" s="8">
        <v>1</v>
      </c>
      <c r="F16" s="8">
        <v>-1</v>
      </c>
      <c r="G16" s="8">
        <v>-1</v>
      </c>
      <c r="H16" s="8">
        <v>1</v>
      </c>
      <c r="I16" s="8">
        <v>1</v>
      </c>
      <c r="J16" s="8">
        <v>-1</v>
      </c>
      <c r="K16" s="8">
        <v>-1</v>
      </c>
      <c r="L16" s="8"/>
      <c r="M16" s="8"/>
      <c r="N16" s="7"/>
      <c r="O16" s="1"/>
      <c r="P16" s="1"/>
      <c r="Q16" s="2"/>
    </row>
    <row r="17" spans="3:17" x14ac:dyDescent="0.25">
      <c r="C17" s="10">
        <v>-1</v>
      </c>
      <c r="D17" s="7">
        <v>1</v>
      </c>
      <c r="E17" s="7">
        <v>1</v>
      </c>
      <c r="F17" s="7">
        <v>1</v>
      </c>
      <c r="G17" s="7">
        <v>1</v>
      </c>
      <c r="H17" s="8">
        <v>1</v>
      </c>
      <c r="I17" s="8">
        <v>1</v>
      </c>
      <c r="J17" s="8">
        <v>-1</v>
      </c>
      <c r="K17" s="7">
        <v>-1</v>
      </c>
      <c r="L17" s="20"/>
      <c r="M17" s="1"/>
      <c r="N17" s="7"/>
      <c r="O17" s="1"/>
      <c r="P17" s="1"/>
      <c r="Q17" s="2"/>
    </row>
    <row r="18" spans="3:17" x14ac:dyDescent="0.25">
      <c r="C18" s="10">
        <v>1</v>
      </c>
      <c r="D18" s="7">
        <v>-1</v>
      </c>
      <c r="E18" s="7">
        <v>-1</v>
      </c>
      <c r="F18" s="7">
        <v>1</v>
      </c>
      <c r="G18" s="7">
        <v>1</v>
      </c>
      <c r="H18" s="1"/>
      <c r="I18" s="8">
        <v>1</v>
      </c>
      <c r="J18" s="8">
        <v>-1</v>
      </c>
      <c r="K18" s="7">
        <v>1</v>
      </c>
      <c r="L18" s="1"/>
      <c r="M18" s="1"/>
      <c r="N18" s="7"/>
      <c r="O18" s="1"/>
      <c r="P18" s="1"/>
      <c r="Q18" s="2"/>
    </row>
    <row r="19" spans="3:17" x14ac:dyDescent="0.25">
      <c r="C19" s="10">
        <v>1</v>
      </c>
      <c r="D19" s="7">
        <v>1</v>
      </c>
      <c r="E19" s="7">
        <v>-1</v>
      </c>
      <c r="F19" s="7">
        <v>1</v>
      </c>
      <c r="G19" s="7">
        <v>1</v>
      </c>
      <c r="H19" s="1"/>
      <c r="I19" s="7">
        <v>-1</v>
      </c>
      <c r="J19" s="1"/>
      <c r="K19" s="7">
        <v>1</v>
      </c>
      <c r="L19" s="1"/>
      <c r="M19" s="1"/>
      <c r="N19" s="7"/>
      <c r="O19" s="1"/>
      <c r="P19" s="1"/>
      <c r="Q19" s="2"/>
    </row>
    <row r="20" spans="3:17" x14ac:dyDescent="0.25">
      <c r="C20" s="3"/>
      <c r="D20" s="7"/>
      <c r="E20" s="7">
        <v>-1</v>
      </c>
      <c r="F20" s="7">
        <v>1</v>
      </c>
      <c r="G20" s="7">
        <v>1</v>
      </c>
      <c r="H20" s="1"/>
      <c r="I20" s="7">
        <v>1</v>
      </c>
      <c r="J20" s="1"/>
      <c r="K20" s="7"/>
      <c r="L20" s="1"/>
      <c r="M20" s="1"/>
      <c r="N20" s="7"/>
      <c r="O20" s="1"/>
      <c r="P20" s="1"/>
      <c r="Q20" s="2"/>
    </row>
    <row r="21" spans="3:17" x14ac:dyDescent="0.25">
      <c r="C21" s="3"/>
      <c r="D21" s="7">
        <v>1</v>
      </c>
      <c r="E21" s="7">
        <v>1</v>
      </c>
      <c r="F21" s="7">
        <v>1</v>
      </c>
      <c r="G21" s="7">
        <v>1</v>
      </c>
      <c r="H21" s="1"/>
      <c r="I21" s="7">
        <v>1</v>
      </c>
      <c r="J21" s="1"/>
      <c r="K21" s="7"/>
      <c r="L21" s="1"/>
      <c r="M21" s="1"/>
      <c r="N21" s="7"/>
      <c r="O21" s="1"/>
      <c r="P21" s="1"/>
      <c r="Q21" s="2"/>
    </row>
    <row r="22" spans="3:17" x14ac:dyDescent="0.25">
      <c r="C22" s="3"/>
      <c r="D22" s="7"/>
      <c r="E22" s="7">
        <v>-1</v>
      </c>
      <c r="F22" s="7">
        <v>-1</v>
      </c>
      <c r="G22" s="7">
        <v>1</v>
      </c>
      <c r="H22" s="1"/>
      <c r="I22" s="7">
        <v>1</v>
      </c>
      <c r="J22" s="1"/>
      <c r="K22" s="7">
        <v>1</v>
      </c>
      <c r="L22" s="1"/>
      <c r="M22" s="1"/>
      <c r="N22" s="7"/>
      <c r="O22" s="1"/>
      <c r="P22" s="1"/>
      <c r="Q22" s="2"/>
    </row>
    <row r="23" spans="3:17" x14ac:dyDescent="0.25">
      <c r="C23" s="3"/>
      <c r="D23" s="7">
        <v>-1</v>
      </c>
      <c r="E23" s="7">
        <v>-1</v>
      </c>
      <c r="F23" s="7">
        <v>1</v>
      </c>
      <c r="G23" s="7">
        <v>1</v>
      </c>
      <c r="H23" s="1"/>
      <c r="I23" s="7">
        <v>1</v>
      </c>
      <c r="J23" s="1"/>
      <c r="K23" s="7">
        <v>1</v>
      </c>
      <c r="L23" s="1"/>
      <c r="M23" s="1"/>
      <c r="N23" s="7"/>
      <c r="O23" s="1"/>
      <c r="P23" s="1"/>
      <c r="Q23" s="2"/>
    </row>
    <row r="24" spans="3:17" x14ac:dyDescent="0.25">
      <c r="C24" s="3"/>
      <c r="D24" s="7">
        <v>-1</v>
      </c>
      <c r="E24" s="1"/>
      <c r="F24" s="8">
        <v>-1</v>
      </c>
      <c r="G24" s="7">
        <v>1</v>
      </c>
      <c r="H24" s="1"/>
      <c r="I24" s="1"/>
      <c r="J24" s="1"/>
      <c r="K24" s="7">
        <v>1</v>
      </c>
      <c r="L24" s="1"/>
      <c r="M24" s="1"/>
      <c r="N24" s="7"/>
      <c r="O24" s="1"/>
      <c r="P24" s="1"/>
      <c r="Q24" s="2"/>
    </row>
    <row r="25" spans="3:17" x14ac:dyDescent="0.25">
      <c r="C25" s="3"/>
      <c r="D25" s="7"/>
      <c r="E25" s="1"/>
      <c r="F25" s="8">
        <v>1</v>
      </c>
      <c r="G25" s="7">
        <v>1</v>
      </c>
      <c r="H25" s="1"/>
      <c r="I25" s="1"/>
      <c r="J25" s="1"/>
      <c r="K25" s="7">
        <v>1</v>
      </c>
      <c r="L25" s="1"/>
      <c r="M25" s="1"/>
      <c r="N25" s="7"/>
      <c r="O25" s="1"/>
      <c r="P25" s="1"/>
      <c r="Q25" s="2"/>
    </row>
    <row r="26" spans="3:17" x14ac:dyDescent="0.25">
      <c r="C26" s="3"/>
      <c r="D26" s="7">
        <v>1</v>
      </c>
      <c r="E26" s="1"/>
      <c r="F26" s="8">
        <v>1</v>
      </c>
      <c r="G26" s="7">
        <v>1</v>
      </c>
      <c r="H26" s="1"/>
      <c r="I26" s="1"/>
      <c r="J26" s="1"/>
      <c r="K26" s="7">
        <v>1</v>
      </c>
      <c r="L26" s="1"/>
      <c r="M26" s="1"/>
      <c r="N26" s="7"/>
      <c r="O26" s="1"/>
      <c r="P26" s="1"/>
      <c r="Q26" s="2"/>
    </row>
    <row r="27" spans="3:17" x14ac:dyDescent="0.25">
      <c r="C27" s="3"/>
      <c r="D27" s="1"/>
      <c r="E27" s="1"/>
      <c r="F27" s="8">
        <v>1</v>
      </c>
      <c r="G27" s="7">
        <v>-1</v>
      </c>
      <c r="H27" s="1"/>
      <c r="I27" s="1"/>
      <c r="J27" s="1"/>
      <c r="K27" s="7">
        <v>1</v>
      </c>
      <c r="L27" s="1"/>
      <c r="M27" s="1"/>
      <c r="N27" s="1"/>
      <c r="O27" s="1"/>
      <c r="P27" s="1"/>
      <c r="Q27" s="2"/>
    </row>
    <row r="28" spans="3:17" x14ac:dyDescent="0.25">
      <c r="C28" s="3"/>
      <c r="D28" s="1"/>
      <c r="E28" s="1"/>
      <c r="F28" s="1"/>
      <c r="G28" s="7">
        <v>1</v>
      </c>
      <c r="H28" s="1"/>
      <c r="I28" s="1"/>
      <c r="J28" s="1"/>
      <c r="K28" s="1"/>
      <c r="L28" s="1"/>
      <c r="M28" s="1"/>
      <c r="N28" s="1"/>
      <c r="O28" s="1"/>
      <c r="P28" s="1"/>
      <c r="Q28" s="2"/>
    </row>
    <row r="29" spans="3:17" x14ac:dyDescent="0.25">
      <c r="C29" s="3"/>
      <c r="D29" s="1"/>
      <c r="E29" s="1"/>
      <c r="F29" s="1"/>
      <c r="G29" s="7">
        <v>1</v>
      </c>
      <c r="H29" s="1"/>
      <c r="I29" s="1"/>
      <c r="J29" s="1"/>
      <c r="K29" s="1"/>
      <c r="L29" s="1"/>
      <c r="M29" s="1"/>
      <c r="N29" s="1"/>
      <c r="O29" s="1"/>
      <c r="P29" s="1"/>
      <c r="Q29" s="2"/>
    </row>
    <row r="30" spans="3:17" x14ac:dyDescent="0.25">
      <c r="C30" s="3"/>
      <c r="D30" s="1"/>
      <c r="E30" s="1"/>
      <c r="F30" s="1"/>
      <c r="G30" s="7">
        <v>1</v>
      </c>
      <c r="H30" s="1"/>
      <c r="I30" s="1"/>
      <c r="J30" s="1"/>
      <c r="K30" s="1"/>
      <c r="L30" s="1"/>
      <c r="M30" s="1"/>
      <c r="N30" s="1"/>
      <c r="O30" s="1"/>
      <c r="P30" s="1"/>
      <c r="Q30" s="2"/>
    </row>
    <row r="31" spans="3:17" x14ac:dyDescent="0.25">
      <c r="C31" s="3"/>
      <c r="D31" s="1"/>
      <c r="E31" s="1"/>
      <c r="F31" s="1"/>
      <c r="G31" s="7">
        <v>1</v>
      </c>
      <c r="H31" s="1"/>
      <c r="I31" s="1"/>
      <c r="J31" s="1"/>
      <c r="K31" s="1"/>
      <c r="L31" s="1"/>
      <c r="M31" s="1"/>
      <c r="N31" s="1"/>
      <c r="O31" s="1"/>
      <c r="P31" s="1"/>
      <c r="Q31" s="2"/>
    </row>
    <row r="32" spans="3:17" x14ac:dyDescent="0.25">
      <c r="C32" s="3"/>
      <c r="D32" s="1"/>
      <c r="E32" s="1"/>
      <c r="F32" s="1"/>
      <c r="G32" s="7">
        <v>1</v>
      </c>
      <c r="H32" s="1"/>
      <c r="I32" s="1"/>
      <c r="J32" s="1"/>
      <c r="K32" s="1"/>
      <c r="L32" s="1"/>
      <c r="M32" s="1"/>
      <c r="N32" s="1"/>
      <c r="O32" s="1"/>
      <c r="P32" s="1"/>
      <c r="Q32" s="2"/>
    </row>
    <row r="33" spans="3:17" x14ac:dyDescent="0.25">
      <c r="C33" s="3"/>
      <c r="D33" s="1"/>
      <c r="E33" s="1"/>
      <c r="F33" s="1"/>
      <c r="G33" s="7">
        <v>-1</v>
      </c>
      <c r="H33" s="1"/>
      <c r="I33" s="1"/>
      <c r="J33" s="1"/>
      <c r="K33" s="1"/>
      <c r="L33" s="1"/>
      <c r="M33" s="1"/>
      <c r="N33" s="1"/>
      <c r="O33" s="1"/>
      <c r="P33" s="1"/>
      <c r="Q33" s="2"/>
    </row>
    <row r="34" spans="3:17" ht="15.75" thickBot="1" x14ac:dyDescent="0.3">
      <c r="C34" s="4"/>
      <c r="D34" s="5"/>
      <c r="E34" s="5"/>
      <c r="F34" s="5"/>
      <c r="G34" s="5"/>
      <c r="H34" s="5"/>
      <c r="I34" s="5"/>
      <c r="J34" s="5"/>
      <c r="K34" s="5"/>
      <c r="L34" s="5"/>
      <c r="M34" s="5"/>
      <c r="N34" s="5"/>
      <c r="O34" s="5"/>
      <c r="P34" s="5"/>
      <c r="Q34" s="6"/>
    </row>
    <row r="35" spans="3:17" ht="15.75" thickTop="1" x14ac:dyDescent="0.25"/>
  </sheetData>
  <mergeCells count="1">
    <mergeCell ref="C1:Q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6006A-C361-44F0-AE3C-A8C9BE9DA560}">
  <sheetPr codeName="Sheet8"/>
  <dimension ref="C1:Q35"/>
  <sheetViews>
    <sheetView workbookViewId="0">
      <selection activeCell="C1" sqref="C1:Q34"/>
    </sheetView>
  </sheetViews>
  <sheetFormatPr defaultRowHeight="15" x14ac:dyDescent="0.25"/>
  <sheetData>
    <row r="1" spans="3:17" ht="17.25" thickTop="1" thickBot="1" x14ac:dyDescent="0.3">
      <c r="C1" s="103" t="s">
        <v>1</v>
      </c>
      <c r="D1" s="104"/>
      <c r="E1" s="104"/>
      <c r="F1" s="104"/>
      <c r="G1" s="104"/>
      <c r="H1" s="104"/>
      <c r="I1" s="104"/>
      <c r="J1" s="104"/>
      <c r="K1" s="104"/>
      <c r="L1" s="104"/>
      <c r="M1" s="104"/>
      <c r="N1" s="104"/>
      <c r="O1" s="104"/>
      <c r="P1" s="104"/>
      <c r="Q1" s="105"/>
    </row>
    <row r="2" spans="3:17" ht="16.5" thickTop="1" x14ac:dyDescent="0.25">
      <c r="C2" s="12">
        <v>10</v>
      </c>
      <c r="D2" s="13">
        <v>11</v>
      </c>
      <c r="E2" s="14">
        <v>12</v>
      </c>
      <c r="F2" s="13">
        <v>13</v>
      </c>
      <c r="G2" s="14">
        <v>14</v>
      </c>
      <c r="H2" s="13">
        <v>15</v>
      </c>
      <c r="I2" s="13">
        <v>16</v>
      </c>
      <c r="J2" s="14">
        <v>17</v>
      </c>
      <c r="K2" s="13">
        <v>18</v>
      </c>
      <c r="L2" s="13">
        <v>19</v>
      </c>
      <c r="M2" s="14">
        <v>20</v>
      </c>
      <c r="N2" s="13">
        <v>21</v>
      </c>
      <c r="O2" s="13">
        <v>22</v>
      </c>
      <c r="P2" s="13">
        <v>23</v>
      </c>
      <c r="Q2" s="15">
        <v>24</v>
      </c>
    </row>
    <row r="3" spans="3:17" x14ac:dyDescent="0.25">
      <c r="C3" s="9">
        <v>1</v>
      </c>
      <c r="D3" s="20">
        <v>-1</v>
      </c>
      <c r="E3" s="8">
        <v>-1</v>
      </c>
      <c r="F3" s="7">
        <v>-1</v>
      </c>
      <c r="G3" s="8"/>
      <c r="H3" s="7">
        <v>1</v>
      </c>
      <c r="I3" s="7"/>
      <c r="J3" s="7"/>
      <c r="K3" s="7"/>
      <c r="L3" s="7"/>
      <c r="M3" s="7"/>
      <c r="N3" s="7"/>
      <c r="O3" s="7"/>
      <c r="P3" s="7"/>
      <c r="Q3" s="32"/>
    </row>
    <row r="4" spans="3:17" x14ac:dyDescent="0.25">
      <c r="C4" s="9">
        <v>1</v>
      </c>
      <c r="D4" s="20"/>
      <c r="E4" s="1"/>
      <c r="F4" s="7"/>
      <c r="G4" s="1"/>
      <c r="H4" s="7"/>
      <c r="I4" s="7"/>
      <c r="J4" s="1"/>
      <c r="K4" s="7"/>
      <c r="L4" s="1"/>
      <c r="M4" s="7"/>
      <c r="N4" s="7"/>
      <c r="O4" s="7"/>
      <c r="P4" s="1"/>
      <c r="Q4" s="2"/>
    </row>
    <row r="5" spans="3:17" x14ac:dyDescent="0.25">
      <c r="C5" s="9">
        <v>-1</v>
      </c>
      <c r="D5" s="1"/>
      <c r="E5" s="1"/>
      <c r="F5" s="7"/>
      <c r="G5" s="1"/>
      <c r="H5" s="7"/>
      <c r="I5" s="7"/>
      <c r="J5" s="1"/>
      <c r="K5" s="1"/>
      <c r="L5" s="1"/>
      <c r="M5" s="1"/>
      <c r="N5" s="7"/>
      <c r="O5" s="7"/>
      <c r="P5" s="1"/>
      <c r="Q5" s="2"/>
    </row>
    <row r="6" spans="3:17" x14ac:dyDescent="0.25">
      <c r="C6" s="9">
        <v>1</v>
      </c>
      <c r="D6" s="1"/>
      <c r="E6" s="1"/>
      <c r="F6" s="7"/>
      <c r="G6" s="1"/>
      <c r="H6" s="7"/>
      <c r="I6" s="7"/>
      <c r="J6" s="1"/>
      <c r="K6" s="1"/>
      <c r="L6" s="1"/>
      <c r="M6" s="1"/>
      <c r="N6" s="7"/>
      <c r="O6" s="7"/>
      <c r="P6" s="1"/>
      <c r="Q6" s="2"/>
    </row>
    <row r="7" spans="3:17" x14ac:dyDescent="0.25">
      <c r="C7" s="9">
        <v>1</v>
      </c>
      <c r="D7" s="1"/>
      <c r="E7" s="1"/>
      <c r="F7" s="1"/>
      <c r="G7" s="1"/>
      <c r="H7" s="7"/>
      <c r="I7" s="7"/>
      <c r="J7" s="1"/>
      <c r="K7" s="1"/>
      <c r="L7" s="1"/>
      <c r="M7" s="1"/>
      <c r="N7" s="7"/>
      <c r="O7" s="1"/>
      <c r="P7" s="1"/>
      <c r="Q7" s="2"/>
    </row>
    <row r="8" spans="3:17" x14ac:dyDescent="0.25">
      <c r="C8" s="9"/>
      <c r="D8" s="1"/>
      <c r="E8" s="1"/>
      <c r="F8" s="1"/>
      <c r="G8" s="1"/>
      <c r="H8" s="7"/>
      <c r="I8" s="7"/>
      <c r="J8" s="1"/>
      <c r="K8" s="1"/>
      <c r="L8" s="1"/>
      <c r="M8" s="1"/>
      <c r="N8" s="7"/>
      <c r="O8" s="1"/>
      <c r="P8" s="1"/>
      <c r="Q8" s="2"/>
    </row>
    <row r="9" spans="3:17" x14ac:dyDescent="0.25">
      <c r="C9" s="9">
        <v>1</v>
      </c>
      <c r="D9" s="1"/>
      <c r="E9" s="1"/>
      <c r="F9" s="1"/>
      <c r="G9" s="1"/>
      <c r="H9" s="7"/>
      <c r="I9" s="7"/>
      <c r="J9" s="1"/>
      <c r="K9" s="1"/>
      <c r="L9" s="1"/>
      <c r="M9" s="1"/>
      <c r="N9" s="7"/>
      <c r="O9" s="1"/>
      <c r="P9" s="1"/>
      <c r="Q9" s="2"/>
    </row>
    <row r="10" spans="3:17" x14ac:dyDescent="0.25">
      <c r="C10" s="9"/>
      <c r="D10" s="1"/>
      <c r="E10" s="1"/>
      <c r="F10" s="1"/>
      <c r="G10" s="1"/>
      <c r="H10" s="7"/>
      <c r="I10" s="7"/>
      <c r="J10" s="1"/>
      <c r="K10" s="1"/>
      <c r="L10" s="1"/>
      <c r="M10" s="1"/>
      <c r="N10" s="1"/>
      <c r="O10" s="1"/>
      <c r="P10" s="1"/>
      <c r="Q10" s="2"/>
    </row>
    <row r="11" spans="3:17" x14ac:dyDescent="0.25">
      <c r="C11" s="9">
        <v>1</v>
      </c>
      <c r="D11" s="1"/>
      <c r="E11" s="1"/>
      <c r="F11" s="1"/>
      <c r="G11" s="1"/>
      <c r="H11" s="7"/>
      <c r="I11" s="7">
        <v>-1</v>
      </c>
      <c r="J11" s="1"/>
      <c r="K11" s="1"/>
      <c r="L11" s="1"/>
      <c r="M11" s="1"/>
      <c r="N11" s="1"/>
      <c r="O11" s="1"/>
      <c r="P11" s="1"/>
      <c r="Q11" s="2"/>
    </row>
    <row r="12" spans="3:17" x14ac:dyDescent="0.25">
      <c r="C12" s="3"/>
      <c r="D12" s="1"/>
      <c r="E12" s="1"/>
      <c r="F12" s="1"/>
      <c r="G12" s="1"/>
      <c r="H12" s="7"/>
      <c r="I12" s="7"/>
      <c r="J12" s="1"/>
      <c r="K12" s="1"/>
      <c r="L12" s="1"/>
      <c r="M12" s="1"/>
      <c r="N12" s="1"/>
      <c r="O12" s="1"/>
      <c r="P12" s="1"/>
      <c r="Q12" s="2"/>
    </row>
    <row r="13" spans="3:17" x14ac:dyDescent="0.25">
      <c r="C13" s="3"/>
      <c r="D13" s="1"/>
      <c r="E13" s="1"/>
      <c r="F13" s="1"/>
      <c r="G13" s="1"/>
      <c r="H13" s="7"/>
      <c r="I13" s="1"/>
      <c r="J13" s="1"/>
      <c r="K13" s="1"/>
      <c r="L13" s="1"/>
      <c r="M13" s="1"/>
      <c r="N13" s="1"/>
      <c r="O13" s="1"/>
      <c r="P13" s="1"/>
      <c r="Q13" s="2"/>
    </row>
    <row r="14" spans="3:17" x14ac:dyDescent="0.25">
      <c r="C14" s="3"/>
      <c r="D14" s="1"/>
      <c r="E14" s="1"/>
      <c r="F14" s="1"/>
      <c r="G14" s="1"/>
      <c r="H14" s="7"/>
      <c r="I14" s="1"/>
      <c r="J14" s="1"/>
      <c r="K14" s="1"/>
      <c r="L14" s="1"/>
      <c r="M14" s="1"/>
      <c r="N14" s="1"/>
      <c r="O14" s="1"/>
      <c r="P14" s="1"/>
      <c r="Q14" s="2"/>
    </row>
    <row r="15" spans="3:17" ht="15.75" x14ac:dyDescent="0.25">
      <c r="C15" s="16">
        <v>25</v>
      </c>
      <c r="D15" s="17">
        <v>26</v>
      </c>
      <c r="E15" s="18">
        <v>27</v>
      </c>
      <c r="F15" s="18">
        <v>28</v>
      </c>
      <c r="G15" s="17">
        <v>29</v>
      </c>
      <c r="H15" s="19">
        <v>30</v>
      </c>
      <c r="I15" s="17">
        <v>31</v>
      </c>
      <c r="J15" s="18">
        <v>32</v>
      </c>
      <c r="K15" s="17">
        <v>33</v>
      </c>
      <c r="L15" s="17">
        <v>34</v>
      </c>
      <c r="M15" s="18">
        <v>35</v>
      </c>
      <c r="N15" s="17">
        <v>36</v>
      </c>
      <c r="O15" s="1"/>
      <c r="P15" s="1"/>
      <c r="Q15" s="2"/>
    </row>
    <row r="16" spans="3:17" x14ac:dyDescent="0.25">
      <c r="C16" s="10"/>
      <c r="D16" s="7">
        <v>-1</v>
      </c>
      <c r="E16" s="8"/>
      <c r="F16" s="8"/>
      <c r="G16" s="8"/>
      <c r="H16" s="8"/>
      <c r="I16" s="8"/>
      <c r="J16" s="8"/>
      <c r="K16" s="8"/>
      <c r="L16" s="8"/>
      <c r="M16" s="8"/>
      <c r="N16" s="7"/>
      <c r="O16" s="1"/>
      <c r="P16" s="1"/>
      <c r="Q16" s="2"/>
    </row>
    <row r="17" spans="3:17" x14ac:dyDescent="0.25">
      <c r="C17" s="10"/>
      <c r="D17" s="7"/>
      <c r="E17" s="8"/>
      <c r="F17" s="8"/>
      <c r="G17" s="8"/>
      <c r="H17" s="8"/>
      <c r="I17" s="8"/>
      <c r="J17" s="8"/>
      <c r="K17" s="7"/>
      <c r="L17" s="20"/>
      <c r="M17" s="1"/>
      <c r="N17" s="7"/>
      <c r="O17" s="1"/>
      <c r="P17" s="1"/>
      <c r="Q17" s="2"/>
    </row>
    <row r="18" spans="3:17" x14ac:dyDescent="0.25">
      <c r="C18" s="10"/>
      <c r="D18" s="7"/>
      <c r="E18" s="8"/>
      <c r="F18" s="8"/>
      <c r="G18" s="7"/>
      <c r="H18" s="1"/>
      <c r="I18" s="8"/>
      <c r="J18" s="8"/>
      <c r="K18" s="7"/>
      <c r="L18" s="1"/>
      <c r="M18" s="1"/>
      <c r="N18" s="7"/>
      <c r="O18" s="1"/>
      <c r="P18" s="1"/>
      <c r="Q18" s="2"/>
    </row>
    <row r="19" spans="3:17" x14ac:dyDescent="0.25">
      <c r="C19" s="10"/>
      <c r="D19" s="7"/>
      <c r="E19" s="8"/>
      <c r="F19" s="8"/>
      <c r="G19" s="7"/>
      <c r="H19" s="1"/>
      <c r="I19" s="7"/>
      <c r="J19" s="1"/>
      <c r="K19" s="7"/>
      <c r="L19" s="1"/>
      <c r="M19" s="1"/>
      <c r="N19" s="7"/>
      <c r="O19" s="1"/>
      <c r="P19" s="1"/>
      <c r="Q19" s="2"/>
    </row>
    <row r="20" spans="3:17" x14ac:dyDescent="0.25">
      <c r="C20" s="3"/>
      <c r="D20" s="7"/>
      <c r="E20" s="8"/>
      <c r="F20" s="8"/>
      <c r="G20" s="7"/>
      <c r="H20" s="1"/>
      <c r="I20" s="7"/>
      <c r="J20" s="1"/>
      <c r="K20" s="7"/>
      <c r="L20" s="1"/>
      <c r="M20" s="1"/>
      <c r="N20" s="7"/>
      <c r="O20" s="1"/>
      <c r="P20" s="1"/>
      <c r="Q20" s="2"/>
    </row>
    <row r="21" spans="3:17" x14ac:dyDescent="0.25">
      <c r="C21" s="3"/>
      <c r="D21" s="7"/>
      <c r="E21" s="8"/>
      <c r="F21" s="8"/>
      <c r="G21" s="7"/>
      <c r="H21" s="1"/>
      <c r="I21" s="7"/>
      <c r="J21" s="1"/>
      <c r="K21" s="7"/>
      <c r="L21" s="1"/>
      <c r="M21" s="1"/>
      <c r="N21" s="7"/>
      <c r="O21" s="1"/>
      <c r="P21" s="1"/>
      <c r="Q21" s="2"/>
    </row>
    <row r="22" spans="3:17" x14ac:dyDescent="0.25">
      <c r="C22" s="3"/>
      <c r="D22" s="7"/>
      <c r="E22" s="8"/>
      <c r="F22" s="8"/>
      <c r="G22" s="7"/>
      <c r="H22" s="1"/>
      <c r="I22" s="7"/>
      <c r="J22" s="1"/>
      <c r="K22" s="7"/>
      <c r="L22" s="1"/>
      <c r="M22" s="1"/>
      <c r="N22" s="7"/>
      <c r="O22" s="1"/>
      <c r="P22" s="1"/>
      <c r="Q22" s="2"/>
    </row>
    <row r="23" spans="3:17" x14ac:dyDescent="0.25">
      <c r="C23" s="3"/>
      <c r="D23" s="7"/>
      <c r="E23" s="8"/>
      <c r="F23" s="8"/>
      <c r="G23" s="7"/>
      <c r="H23" s="1"/>
      <c r="I23" s="7"/>
      <c r="J23" s="1"/>
      <c r="K23" s="7"/>
      <c r="L23" s="1"/>
      <c r="M23" s="1"/>
      <c r="N23" s="7"/>
      <c r="O23" s="1"/>
      <c r="P23" s="1"/>
      <c r="Q23" s="2"/>
    </row>
    <row r="24" spans="3:17" x14ac:dyDescent="0.25">
      <c r="C24" s="3"/>
      <c r="D24" s="7"/>
      <c r="E24" s="1"/>
      <c r="F24" s="8"/>
      <c r="G24" s="7"/>
      <c r="H24" s="1"/>
      <c r="I24" s="1"/>
      <c r="J24" s="1"/>
      <c r="K24" s="7"/>
      <c r="L24" s="1"/>
      <c r="M24" s="1"/>
      <c r="N24" s="7"/>
      <c r="O24" s="1"/>
      <c r="P24" s="1"/>
      <c r="Q24" s="2"/>
    </row>
    <row r="25" spans="3:17" x14ac:dyDescent="0.25">
      <c r="C25" s="3"/>
      <c r="D25" s="7"/>
      <c r="E25" s="1"/>
      <c r="F25" s="8"/>
      <c r="G25" s="7"/>
      <c r="H25" s="1"/>
      <c r="I25" s="1"/>
      <c r="J25" s="1"/>
      <c r="K25" s="7"/>
      <c r="L25" s="1"/>
      <c r="M25" s="1"/>
      <c r="N25" s="7"/>
      <c r="O25" s="1"/>
      <c r="P25" s="1"/>
      <c r="Q25" s="2"/>
    </row>
    <row r="26" spans="3:17" x14ac:dyDescent="0.25">
      <c r="C26" s="3"/>
      <c r="D26" s="7"/>
      <c r="E26" s="1"/>
      <c r="F26" s="8"/>
      <c r="G26" s="7"/>
      <c r="H26" s="1"/>
      <c r="I26" s="1"/>
      <c r="J26" s="1"/>
      <c r="K26" s="7"/>
      <c r="L26" s="1"/>
      <c r="M26" s="1"/>
      <c r="N26" s="7"/>
      <c r="O26" s="1"/>
      <c r="P26" s="1"/>
      <c r="Q26" s="2"/>
    </row>
    <row r="27" spans="3:17" x14ac:dyDescent="0.25">
      <c r="C27" s="3"/>
      <c r="D27" s="1"/>
      <c r="E27" s="1"/>
      <c r="F27" s="8"/>
      <c r="G27" s="7"/>
      <c r="H27" s="1"/>
      <c r="I27" s="1"/>
      <c r="J27" s="1"/>
      <c r="K27" s="7"/>
      <c r="L27" s="1"/>
      <c r="M27" s="1"/>
      <c r="N27" s="1"/>
      <c r="O27" s="1"/>
      <c r="P27" s="1"/>
      <c r="Q27" s="2"/>
    </row>
    <row r="28" spans="3:17" x14ac:dyDescent="0.25">
      <c r="C28" s="3"/>
      <c r="D28" s="1"/>
      <c r="E28" s="1"/>
      <c r="F28" s="1"/>
      <c r="G28" s="7"/>
      <c r="H28" s="1"/>
      <c r="I28" s="1"/>
      <c r="J28" s="1"/>
      <c r="K28" s="1"/>
      <c r="L28" s="1"/>
      <c r="M28" s="1"/>
      <c r="N28" s="1"/>
      <c r="O28" s="1"/>
      <c r="P28" s="1"/>
      <c r="Q28" s="2"/>
    </row>
    <row r="29" spans="3:17" x14ac:dyDescent="0.25">
      <c r="C29" s="3"/>
      <c r="D29" s="1"/>
      <c r="E29" s="1"/>
      <c r="F29" s="1"/>
      <c r="G29" s="7"/>
      <c r="H29" s="1"/>
      <c r="I29" s="1"/>
      <c r="J29" s="1"/>
      <c r="K29" s="1"/>
      <c r="L29" s="1"/>
      <c r="M29" s="1"/>
      <c r="N29" s="1"/>
      <c r="O29" s="1"/>
      <c r="P29" s="1"/>
      <c r="Q29" s="2"/>
    </row>
    <row r="30" spans="3:17" x14ac:dyDescent="0.25">
      <c r="C30" s="3"/>
      <c r="D30" s="1"/>
      <c r="E30" s="1"/>
      <c r="F30" s="1"/>
      <c r="G30" s="7"/>
      <c r="H30" s="1"/>
      <c r="I30" s="1"/>
      <c r="J30" s="1"/>
      <c r="K30" s="1"/>
      <c r="L30" s="1"/>
      <c r="M30" s="1"/>
      <c r="N30" s="1"/>
      <c r="O30" s="1"/>
      <c r="P30" s="1"/>
      <c r="Q30" s="2"/>
    </row>
    <row r="31" spans="3:17" x14ac:dyDescent="0.25">
      <c r="C31" s="3"/>
      <c r="D31" s="1"/>
      <c r="E31" s="1"/>
      <c r="F31" s="1"/>
      <c r="G31" s="7"/>
      <c r="H31" s="1"/>
      <c r="I31" s="1"/>
      <c r="J31" s="1"/>
      <c r="K31" s="1"/>
      <c r="L31" s="1"/>
      <c r="M31" s="1"/>
      <c r="N31" s="1"/>
      <c r="O31" s="1"/>
      <c r="P31" s="1"/>
      <c r="Q31" s="2"/>
    </row>
    <row r="32" spans="3:17" x14ac:dyDescent="0.25">
      <c r="C32" s="3"/>
      <c r="D32" s="1"/>
      <c r="E32" s="1"/>
      <c r="F32" s="1"/>
      <c r="G32" s="7"/>
      <c r="H32" s="1"/>
      <c r="I32" s="1"/>
      <c r="J32" s="1"/>
      <c r="K32" s="1"/>
      <c r="L32" s="1"/>
      <c r="M32" s="1"/>
      <c r="N32" s="1"/>
      <c r="O32" s="1"/>
      <c r="P32" s="1"/>
      <c r="Q32" s="2"/>
    </row>
    <row r="33" spans="3:17" x14ac:dyDescent="0.25">
      <c r="C33" s="3"/>
      <c r="D33" s="1"/>
      <c r="E33" s="1"/>
      <c r="F33" s="1"/>
      <c r="G33" s="7"/>
      <c r="H33" s="1"/>
      <c r="I33" s="1"/>
      <c r="J33" s="1"/>
      <c r="K33" s="1"/>
      <c r="L33" s="1"/>
      <c r="M33" s="1"/>
      <c r="N33" s="1"/>
      <c r="O33" s="1"/>
      <c r="P33" s="1"/>
      <c r="Q33" s="2"/>
    </row>
    <row r="34" spans="3:17" ht="15.75" thickBot="1" x14ac:dyDescent="0.3">
      <c r="C34" s="4"/>
      <c r="D34" s="5"/>
      <c r="E34" s="5"/>
      <c r="F34" s="5"/>
      <c r="G34" s="5"/>
      <c r="H34" s="5"/>
      <c r="I34" s="5"/>
      <c r="J34" s="5"/>
      <c r="K34" s="5"/>
      <c r="L34" s="5"/>
      <c r="M34" s="5"/>
      <c r="N34" s="5"/>
      <c r="O34" s="5"/>
      <c r="P34" s="5"/>
      <c r="Q34" s="6"/>
    </row>
    <row r="35" spans="3:17" ht="15.75" thickTop="1" x14ac:dyDescent="0.25"/>
  </sheetData>
  <mergeCells count="1">
    <mergeCell ref="C1:Q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D6214-EE6B-4FD2-86DB-C4798109A1FA}">
  <sheetPr codeName="Sheet5"/>
  <dimension ref="C1:Q35"/>
  <sheetViews>
    <sheetView workbookViewId="0">
      <selection activeCell="S10" sqref="S10"/>
    </sheetView>
  </sheetViews>
  <sheetFormatPr defaultRowHeight="15" x14ac:dyDescent="0.25"/>
  <sheetData>
    <row r="1" spans="3:17" ht="17.25" thickTop="1" thickBot="1" x14ac:dyDescent="0.3">
      <c r="C1" s="103" t="s">
        <v>1</v>
      </c>
      <c r="D1" s="104"/>
      <c r="E1" s="104"/>
      <c r="F1" s="104"/>
      <c r="G1" s="104"/>
      <c r="H1" s="104"/>
      <c r="I1" s="104"/>
      <c r="J1" s="104"/>
      <c r="K1" s="104"/>
      <c r="L1" s="104"/>
      <c r="M1" s="104"/>
      <c r="N1" s="104"/>
      <c r="O1" s="104"/>
      <c r="P1" s="104"/>
      <c r="Q1" s="105"/>
    </row>
    <row r="2" spans="3:17" ht="16.5" thickTop="1" x14ac:dyDescent="0.25">
      <c r="C2" s="12">
        <v>10</v>
      </c>
      <c r="D2" s="13">
        <v>11</v>
      </c>
      <c r="E2" s="14">
        <v>12</v>
      </c>
      <c r="F2" s="13">
        <v>13</v>
      </c>
      <c r="G2" s="14">
        <v>14</v>
      </c>
      <c r="H2" s="13">
        <v>15</v>
      </c>
      <c r="I2" s="13">
        <v>16</v>
      </c>
      <c r="J2" s="14">
        <v>17</v>
      </c>
      <c r="K2" s="13">
        <v>18</v>
      </c>
      <c r="L2" s="13">
        <v>19</v>
      </c>
      <c r="M2" s="14">
        <v>20</v>
      </c>
      <c r="N2" s="13">
        <v>21</v>
      </c>
      <c r="O2" s="13">
        <v>22</v>
      </c>
      <c r="P2" s="13">
        <v>23</v>
      </c>
      <c r="Q2" s="15">
        <v>24</v>
      </c>
    </row>
    <row r="3" spans="3:17" x14ac:dyDescent="0.25">
      <c r="C3" s="9">
        <v>-1</v>
      </c>
      <c r="D3" s="20">
        <v>1</v>
      </c>
      <c r="E3" s="8">
        <v>-1</v>
      </c>
      <c r="F3" s="7">
        <v>-1</v>
      </c>
      <c r="G3" s="8">
        <v>-1</v>
      </c>
      <c r="H3" s="7">
        <v>1</v>
      </c>
      <c r="I3" s="7"/>
      <c r="J3" s="7">
        <v>1</v>
      </c>
      <c r="K3" s="7">
        <v>1</v>
      </c>
      <c r="L3" s="7">
        <v>-1</v>
      </c>
      <c r="M3" s="7"/>
      <c r="N3" s="7"/>
      <c r="O3" s="7"/>
      <c r="P3" s="7">
        <v>1</v>
      </c>
      <c r="Q3" s="32"/>
    </row>
    <row r="4" spans="3:17" x14ac:dyDescent="0.25">
      <c r="C4" s="9">
        <v>1</v>
      </c>
      <c r="D4" s="20"/>
      <c r="E4" s="1"/>
      <c r="F4" s="7">
        <v>1</v>
      </c>
      <c r="G4" s="1"/>
      <c r="H4" s="7"/>
      <c r="I4" s="7">
        <v>-1</v>
      </c>
      <c r="J4" s="1"/>
      <c r="K4" s="7"/>
      <c r="L4" s="1"/>
      <c r="M4" s="7"/>
      <c r="N4" s="7"/>
      <c r="O4" s="7"/>
      <c r="P4" s="1"/>
      <c r="Q4" s="2"/>
    </row>
    <row r="5" spans="3:17" x14ac:dyDescent="0.25">
      <c r="C5" s="9">
        <v>-1</v>
      </c>
      <c r="D5" s="1"/>
      <c r="E5" s="1"/>
      <c r="F5" s="7">
        <v>1</v>
      </c>
      <c r="G5" s="1"/>
      <c r="H5" s="7">
        <v>1</v>
      </c>
      <c r="I5" s="7"/>
      <c r="J5" s="1"/>
      <c r="K5" s="1"/>
      <c r="L5" s="1"/>
      <c r="M5" s="1"/>
      <c r="N5" s="7"/>
      <c r="O5" s="7"/>
      <c r="P5" s="1"/>
      <c r="Q5" s="2"/>
    </row>
    <row r="6" spans="3:17" x14ac:dyDescent="0.25">
      <c r="C6" s="9"/>
      <c r="D6" s="1"/>
      <c r="E6" s="1"/>
      <c r="F6" s="7">
        <v>1</v>
      </c>
      <c r="G6" s="1"/>
      <c r="H6" s="7">
        <v>1</v>
      </c>
      <c r="I6" s="7"/>
      <c r="J6" s="1"/>
      <c r="K6" s="1"/>
      <c r="L6" s="1"/>
      <c r="M6" s="1"/>
      <c r="N6" s="7"/>
      <c r="O6" s="7"/>
      <c r="P6" s="1"/>
      <c r="Q6" s="2"/>
    </row>
    <row r="7" spans="3:17" x14ac:dyDescent="0.25">
      <c r="C7" s="9">
        <v>-1</v>
      </c>
      <c r="D7" s="1"/>
      <c r="E7" s="1"/>
      <c r="F7" s="1"/>
      <c r="G7" s="1"/>
      <c r="H7" s="7"/>
      <c r="I7" s="7"/>
      <c r="J7" s="1"/>
      <c r="K7" s="1"/>
      <c r="L7" s="1"/>
      <c r="M7" s="1"/>
      <c r="N7" s="7"/>
      <c r="O7" s="1"/>
      <c r="P7" s="1"/>
      <c r="Q7" s="2"/>
    </row>
    <row r="8" spans="3:17" x14ac:dyDescent="0.25">
      <c r="C8" s="9"/>
      <c r="D8" s="1"/>
      <c r="E8" s="1"/>
      <c r="F8" s="1"/>
      <c r="G8" s="1"/>
      <c r="H8" s="7">
        <v>1</v>
      </c>
      <c r="I8" s="7"/>
      <c r="J8" s="1"/>
      <c r="K8" s="1"/>
      <c r="L8" s="1"/>
      <c r="M8" s="1"/>
      <c r="N8" s="7"/>
      <c r="O8" s="1"/>
      <c r="P8" s="1"/>
      <c r="Q8" s="2"/>
    </row>
    <row r="9" spans="3:17" x14ac:dyDescent="0.25">
      <c r="C9" s="9"/>
      <c r="D9" s="1"/>
      <c r="E9" s="1"/>
      <c r="F9" s="1"/>
      <c r="G9" s="1"/>
      <c r="H9" s="7"/>
      <c r="I9" s="7"/>
      <c r="J9" s="1"/>
      <c r="K9" s="1"/>
      <c r="L9" s="1"/>
      <c r="M9" s="1"/>
      <c r="N9" s="7"/>
      <c r="O9" s="1"/>
      <c r="P9" s="1"/>
      <c r="Q9" s="2"/>
    </row>
    <row r="10" spans="3:17" x14ac:dyDescent="0.25">
      <c r="C10" s="9"/>
      <c r="D10" s="1"/>
      <c r="E10" s="1"/>
      <c r="F10" s="1"/>
      <c r="G10" s="1"/>
      <c r="H10" s="7">
        <v>1</v>
      </c>
      <c r="I10" s="7"/>
      <c r="J10" s="1"/>
      <c r="K10" s="1"/>
      <c r="L10" s="1"/>
      <c r="M10" s="1"/>
      <c r="N10" s="1"/>
      <c r="O10" s="1"/>
      <c r="P10" s="1"/>
      <c r="Q10" s="2"/>
    </row>
    <row r="11" spans="3:17" x14ac:dyDescent="0.25">
      <c r="C11" s="9">
        <v>1</v>
      </c>
      <c r="D11" s="1"/>
      <c r="E11" s="1"/>
      <c r="F11" s="1"/>
      <c r="G11" s="1"/>
      <c r="H11" s="7"/>
      <c r="I11" s="7"/>
      <c r="J11" s="1"/>
      <c r="K11" s="1"/>
      <c r="L11" s="1"/>
      <c r="M11" s="1"/>
      <c r="N11" s="1"/>
      <c r="O11" s="1"/>
      <c r="P11" s="1"/>
      <c r="Q11" s="2"/>
    </row>
    <row r="12" spans="3:17" x14ac:dyDescent="0.25">
      <c r="C12" s="3"/>
      <c r="D12" s="1"/>
      <c r="E12" s="1"/>
      <c r="F12" s="1"/>
      <c r="G12" s="1"/>
      <c r="H12" s="7">
        <v>1</v>
      </c>
      <c r="I12" s="7">
        <v>-1</v>
      </c>
      <c r="J12" s="1"/>
      <c r="K12" s="1"/>
      <c r="L12" s="1"/>
      <c r="M12" s="1"/>
      <c r="N12" s="1"/>
      <c r="O12" s="1"/>
      <c r="P12" s="1"/>
      <c r="Q12" s="2"/>
    </row>
    <row r="13" spans="3:17" x14ac:dyDescent="0.25">
      <c r="C13" s="3"/>
      <c r="D13" s="1"/>
      <c r="E13" s="1"/>
      <c r="F13" s="1"/>
      <c r="G13" s="1"/>
      <c r="H13" s="7">
        <v>-1</v>
      </c>
      <c r="I13" s="1"/>
      <c r="J13" s="1"/>
      <c r="K13" s="1"/>
      <c r="L13" s="1"/>
      <c r="M13" s="1"/>
      <c r="N13" s="1"/>
      <c r="O13" s="1"/>
      <c r="P13" s="1"/>
      <c r="Q13" s="2"/>
    </row>
    <row r="14" spans="3:17" x14ac:dyDescent="0.25">
      <c r="C14" s="3"/>
      <c r="D14" s="1"/>
      <c r="E14" s="1"/>
      <c r="F14" s="1"/>
      <c r="G14" s="1"/>
      <c r="H14" s="7"/>
      <c r="I14" s="1"/>
      <c r="J14" s="1"/>
      <c r="K14" s="1"/>
      <c r="L14" s="1"/>
      <c r="M14" s="1"/>
      <c r="N14" s="1"/>
      <c r="O14" s="1"/>
      <c r="P14" s="1"/>
      <c r="Q14" s="2"/>
    </row>
    <row r="15" spans="3:17" ht="15.75" x14ac:dyDescent="0.25">
      <c r="C15" s="16">
        <v>25</v>
      </c>
      <c r="D15" s="17">
        <v>26</v>
      </c>
      <c r="E15" s="18">
        <v>27</v>
      </c>
      <c r="F15" s="18">
        <v>28</v>
      </c>
      <c r="G15" s="17">
        <v>29</v>
      </c>
      <c r="H15" s="19">
        <v>30</v>
      </c>
      <c r="I15" s="17">
        <v>31</v>
      </c>
      <c r="J15" s="18">
        <v>32</v>
      </c>
      <c r="K15" s="17">
        <v>33</v>
      </c>
      <c r="L15" s="17">
        <v>34</v>
      </c>
      <c r="M15" s="18">
        <v>35</v>
      </c>
      <c r="N15" s="17">
        <v>36</v>
      </c>
      <c r="O15" s="1"/>
      <c r="P15" s="1"/>
      <c r="Q15" s="2"/>
    </row>
    <row r="16" spans="3:17" x14ac:dyDescent="0.25">
      <c r="C16" s="10"/>
      <c r="D16" s="7"/>
      <c r="E16" s="8"/>
      <c r="F16" s="8"/>
      <c r="G16" s="8"/>
      <c r="H16" s="8"/>
      <c r="I16" s="8"/>
      <c r="J16" s="8"/>
      <c r="K16" s="8"/>
      <c r="L16" s="8"/>
      <c r="M16" s="8"/>
      <c r="N16" s="7"/>
      <c r="O16" s="1"/>
      <c r="P16" s="1"/>
      <c r="Q16" s="2"/>
    </row>
    <row r="17" spans="3:17" x14ac:dyDescent="0.25">
      <c r="C17" s="10">
        <v>-1</v>
      </c>
      <c r="D17" s="7"/>
      <c r="E17" s="8"/>
      <c r="F17" s="8"/>
      <c r="G17" s="8"/>
      <c r="H17" s="8"/>
      <c r="I17" s="8"/>
      <c r="J17" s="8"/>
      <c r="K17" s="7"/>
      <c r="L17" s="20"/>
      <c r="M17" s="1"/>
      <c r="N17" s="7"/>
      <c r="O17" s="1"/>
      <c r="P17" s="1"/>
      <c r="Q17" s="2"/>
    </row>
    <row r="18" spans="3:17" x14ac:dyDescent="0.25">
      <c r="C18" s="10"/>
      <c r="D18" s="7"/>
      <c r="E18" s="8"/>
      <c r="F18" s="8"/>
      <c r="G18" s="7"/>
      <c r="H18" s="1"/>
      <c r="I18" s="8"/>
      <c r="J18" s="8"/>
      <c r="K18" s="7"/>
      <c r="L18" s="1"/>
      <c r="M18" s="1"/>
      <c r="N18" s="7"/>
      <c r="O18" s="1"/>
      <c r="P18" s="1"/>
      <c r="Q18" s="2"/>
    </row>
    <row r="19" spans="3:17" x14ac:dyDescent="0.25">
      <c r="C19" s="10"/>
      <c r="D19" s="7"/>
      <c r="E19" s="8"/>
      <c r="F19" s="8"/>
      <c r="G19" s="7"/>
      <c r="H19" s="1"/>
      <c r="I19" s="7"/>
      <c r="J19" s="1"/>
      <c r="K19" s="7"/>
      <c r="L19" s="1"/>
      <c r="M19" s="1"/>
      <c r="N19" s="7"/>
      <c r="O19" s="1"/>
      <c r="P19" s="1"/>
      <c r="Q19" s="2"/>
    </row>
    <row r="20" spans="3:17" x14ac:dyDescent="0.25">
      <c r="C20" s="3"/>
      <c r="D20" s="7"/>
      <c r="E20" s="8"/>
      <c r="F20" s="8"/>
      <c r="G20" s="7"/>
      <c r="H20" s="1"/>
      <c r="I20" s="7"/>
      <c r="J20" s="1"/>
      <c r="K20" s="7"/>
      <c r="L20" s="1"/>
      <c r="M20" s="1"/>
      <c r="N20" s="7"/>
      <c r="O20" s="1"/>
      <c r="P20" s="1"/>
      <c r="Q20" s="2"/>
    </row>
    <row r="21" spans="3:17" x14ac:dyDescent="0.25">
      <c r="C21" s="3"/>
      <c r="D21" s="7"/>
      <c r="E21" s="8"/>
      <c r="F21" s="8"/>
      <c r="G21" s="7"/>
      <c r="H21" s="1"/>
      <c r="I21" s="7"/>
      <c r="J21" s="1"/>
      <c r="K21" s="7"/>
      <c r="L21" s="1"/>
      <c r="M21" s="1"/>
      <c r="N21" s="7"/>
      <c r="O21" s="1"/>
      <c r="P21" s="1"/>
      <c r="Q21" s="2"/>
    </row>
    <row r="22" spans="3:17" x14ac:dyDescent="0.25">
      <c r="C22" s="3"/>
      <c r="D22" s="7"/>
      <c r="E22" s="8"/>
      <c r="F22" s="8"/>
      <c r="G22" s="7"/>
      <c r="H22" s="1"/>
      <c r="I22" s="7"/>
      <c r="J22" s="1"/>
      <c r="K22" s="7"/>
      <c r="L22" s="1"/>
      <c r="M22" s="1"/>
      <c r="N22" s="7"/>
      <c r="O22" s="1"/>
      <c r="P22" s="1"/>
      <c r="Q22" s="2"/>
    </row>
    <row r="23" spans="3:17" x14ac:dyDescent="0.25">
      <c r="C23" s="3"/>
      <c r="D23" s="7"/>
      <c r="E23" s="8"/>
      <c r="F23" s="8"/>
      <c r="G23" s="7"/>
      <c r="H23" s="1"/>
      <c r="I23" s="7"/>
      <c r="J23" s="1"/>
      <c r="K23" s="7"/>
      <c r="L23" s="1"/>
      <c r="M23" s="1"/>
      <c r="N23" s="7"/>
      <c r="O23" s="1"/>
      <c r="P23" s="1"/>
      <c r="Q23" s="2"/>
    </row>
    <row r="24" spans="3:17" x14ac:dyDescent="0.25">
      <c r="C24" s="3"/>
      <c r="D24" s="7"/>
      <c r="E24" s="1"/>
      <c r="F24" s="8"/>
      <c r="G24" s="7"/>
      <c r="H24" s="1"/>
      <c r="I24" s="1"/>
      <c r="J24" s="1"/>
      <c r="K24" s="7"/>
      <c r="L24" s="1"/>
      <c r="M24" s="1"/>
      <c r="N24" s="7"/>
      <c r="O24" s="1"/>
      <c r="P24" s="1"/>
      <c r="Q24" s="2"/>
    </row>
    <row r="25" spans="3:17" x14ac:dyDescent="0.25">
      <c r="C25" s="3"/>
      <c r="D25" s="7"/>
      <c r="E25" s="1"/>
      <c r="F25" s="8"/>
      <c r="G25" s="7"/>
      <c r="H25" s="1"/>
      <c r="I25" s="1"/>
      <c r="J25" s="1"/>
      <c r="K25" s="7"/>
      <c r="L25" s="1"/>
      <c r="M25" s="1"/>
      <c r="N25" s="7"/>
      <c r="O25" s="1"/>
      <c r="P25" s="1"/>
      <c r="Q25" s="2"/>
    </row>
    <row r="26" spans="3:17" x14ac:dyDescent="0.25">
      <c r="C26" s="3"/>
      <c r="D26" s="7"/>
      <c r="E26" s="1"/>
      <c r="F26" s="8"/>
      <c r="G26" s="7"/>
      <c r="H26" s="1"/>
      <c r="I26" s="1"/>
      <c r="J26" s="1"/>
      <c r="K26" s="7"/>
      <c r="L26" s="1"/>
      <c r="M26" s="1"/>
      <c r="N26" s="7"/>
      <c r="O26" s="1"/>
      <c r="P26" s="1"/>
      <c r="Q26" s="2"/>
    </row>
    <row r="27" spans="3:17" x14ac:dyDescent="0.25">
      <c r="C27" s="3"/>
      <c r="D27" s="1"/>
      <c r="E27" s="1"/>
      <c r="F27" s="8"/>
      <c r="G27" s="7"/>
      <c r="H27" s="1"/>
      <c r="I27" s="1"/>
      <c r="J27" s="1"/>
      <c r="K27" s="7"/>
      <c r="L27" s="1"/>
      <c r="M27" s="1"/>
      <c r="N27" s="1"/>
      <c r="O27" s="1"/>
      <c r="P27" s="1"/>
      <c r="Q27" s="2"/>
    </row>
    <row r="28" spans="3:17" x14ac:dyDescent="0.25">
      <c r="C28" s="3"/>
      <c r="D28" s="1"/>
      <c r="E28" s="1"/>
      <c r="F28" s="1"/>
      <c r="G28" s="7"/>
      <c r="H28" s="1"/>
      <c r="I28" s="1"/>
      <c r="J28" s="1"/>
      <c r="K28" s="1"/>
      <c r="L28" s="1"/>
      <c r="M28" s="1"/>
      <c r="N28" s="1"/>
      <c r="O28" s="1"/>
      <c r="P28" s="1"/>
      <c r="Q28" s="2"/>
    </row>
    <row r="29" spans="3:17" x14ac:dyDescent="0.25">
      <c r="C29" s="3"/>
      <c r="D29" s="1"/>
      <c r="E29" s="1"/>
      <c r="F29" s="1"/>
      <c r="G29" s="7"/>
      <c r="H29" s="1"/>
      <c r="I29" s="1"/>
      <c r="J29" s="1"/>
      <c r="K29" s="1"/>
      <c r="L29" s="1"/>
      <c r="M29" s="1"/>
      <c r="N29" s="1"/>
      <c r="O29" s="1"/>
      <c r="P29" s="1"/>
      <c r="Q29" s="2"/>
    </row>
    <row r="30" spans="3:17" x14ac:dyDescent="0.25">
      <c r="C30" s="3"/>
      <c r="D30" s="1"/>
      <c r="E30" s="1"/>
      <c r="F30" s="1"/>
      <c r="G30" s="7"/>
      <c r="H30" s="1"/>
      <c r="I30" s="1"/>
      <c r="J30" s="1"/>
      <c r="K30" s="1"/>
      <c r="L30" s="1"/>
      <c r="M30" s="1"/>
      <c r="N30" s="1"/>
      <c r="O30" s="1"/>
      <c r="P30" s="1"/>
      <c r="Q30" s="2"/>
    </row>
    <row r="31" spans="3:17" x14ac:dyDescent="0.25">
      <c r="C31" s="3"/>
      <c r="D31" s="1"/>
      <c r="E31" s="1"/>
      <c r="F31" s="1"/>
      <c r="G31" s="7"/>
      <c r="H31" s="1"/>
      <c r="I31" s="1"/>
      <c r="J31" s="1"/>
      <c r="K31" s="1"/>
      <c r="L31" s="1"/>
      <c r="M31" s="1"/>
      <c r="N31" s="1"/>
      <c r="O31" s="1"/>
      <c r="P31" s="1"/>
      <c r="Q31" s="2"/>
    </row>
    <row r="32" spans="3:17" x14ac:dyDescent="0.25">
      <c r="C32" s="3"/>
      <c r="D32" s="1"/>
      <c r="E32" s="1"/>
      <c r="F32" s="1"/>
      <c r="G32" s="7"/>
      <c r="H32" s="1"/>
      <c r="I32" s="1"/>
      <c r="J32" s="1"/>
      <c r="K32" s="1"/>
      <c r="L32" s="1"/>
      <c r="M32" s="1"/>
      <c r="N32" s="1"/>
      <c r="O32" s="1"/>
      <c r="P32" s="1"/>
      <c r="Q32" s="2"/>
    </row>
    <row r="33" spans="3:17" x14ac:dyDescent="0.25">
      <c r="C33" s="3"/>
      <c r="D33" s="1"/>
      <c r="E33" s="1"/>
      <c r="F33" s="1"/>
      <c r="G33" s="7"/>
      <c r="H33" s="1"/>
      <c r="I33" s="1"/>
      <c r="J33" s="1"/>
      <c r="K33" s="1"/>
      <c r="L33" s="1"/>
      <c r="M33" s="1"/>
      <c r="N33" s="1"/>
      <c r="O33" s="1"/>
      <c r="P33" s="1"/>
      <c r="Q33" s="2"/>
    </row>
    <row r="34" spans="3:17" ht="15.75" thickBot="1" x14ac:dyDescent="0.3">
      <c r="C34" s="4"/>
      <c r="D34" s="5"/>
      <c r="E34" s="5"/>
      <c r="F34" s="5"/>
      <c r="G34" s="5"/>
      <c r="H34" s="5"/>
      <c r="I34" s="5"/>
      <c r="J34" s="5"/>
      <c r="K34" s="5"/>
      <c r="L34" s="5"/>
      <c r="M34" s="5"/>
      <c r="N34" s="5"/>
      <c r="O34" s="5"/>
      <c r="P34" s="5"/>
      <c r="Q34" s="6"/>
    </row>
    <row r="35" spans="3:17" ht="15.75" thickTop="1" x14ac:dyDescent="0.25"/>
  </sheetData>
  <mergeCells count="1">
    <mergeCell ref="C1:Q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901FE-22AC-4E30-903A-CF5E2F7A1190}">
  <sheetPr codeName="Sheet6"/>
  <dimension ref="C1:Q35"/>
  <sheetViews>
    <sheetView workbookViewId="0">
      <selection activeCell="C1" sqref="C1:Q34"/>
    </sheetView>
  </sheetViews>
  <sheetFormatPr defaultRowHeight="15" x14ac:dyDescent="0.25"/>
  <sheetData>
    <row r="1" spans="3:17" ht="17.25" thickTop="1" thickBot="1" x14ac:dyDescent="0.3">
      <c r="C1" s="103" t="s">
        <v>1</v>
      </c>
      <c r="D1" s="104"/>
      <c r="E1" s="104"/>
      <c r="F1" s="104"/>
      <c r="G1" s="104"/>
      <c r="H1" s="104"/>
      <c r="I1" s="104"/>
      <c r="J1" s="104"/>
      <c r="K1" s="104"/>
      <c r="L1" s="104"/>
      <c r="M1" s="104"/>
      <c r="N1" s="104"/>
      <c r="O1" s="104"/>
      <c r="P1" s="104"/>
      <c r="Q1" s="105"/>
    </row>
    <row r="2" spans="3:17" ht="16.5" thickTop="1" x14ac:dyDescent="0.25">
      <c r="C2" s="12">
        <v>10</v>
      </c>
      <c r="D2" s="13">
        <v>11</v>
      </c>
      <c r="E2" s="14">
        <v>12</v>
      </c>
      <c r="F2" s="13">
        <v>13</v>
      </c>
      <c r="G2" s="14">
        <v>14</v>
      </c>
      <c r="H2" s="13">
        <v>15</v>
      </c>
      <c r="I2" s="13">
        <v>16</v>
      </c>
      <c r="J2" s="14">
        <v>17</v>
      </c>
      <c r="K2" s="13">
        <v>18</v>
      </c>
      <c r="L2" s="13">
        <v>19</v>
      </c>
      <c r="M2" s="14">
        <v>20</v>
      </c>
      <c r="N2" s="13">
        <v>21</v>
      </c>
      <c r="O2" s="13">
        <v>22</v>
      </c>
      <c r="P2" s="13">
        <v>23</v>
      </c>
      <c r="Q2" s="15">
        <v>24</v>
      </c>
    </row>
    <row r="3" spans="3:17" x14ac:dyDescent="0.25">
      <c r="C3" s="9">
        <v>1</v>
      </c>
      <c r="D3" s="20">
        <v>-1</v>
      </c>
      <c r="E3" s="8">
        <v>-1</v>
      </c>
      <c r="F3" s="7">
        <v>-1</v>
      </c>
      <c r="G3" s="8"/>
      <c r="H3" s="7">
        <v>1</v>
      </c>
      <c r="I3" s="7"/>
      <c r="J3" s="7"/>
      <c r="K3" s="7"/>
      <c r="L3" s="7"/>
      <c r="M3" s="7"/>
      <c r="N3" s="7"/>
      <c r="O3" s="7"/>
      <c r="P3" s="7"/>
      <c r="Q3" s="32"/>
    </row>
    <row r="4" spans="3:17" x14ac:dyDescent="0.25">
      <c r="C4" s="9">
        <v>1</v>
      </c>
      <c r="D4" s="20"/>
      <c r="E4" s="1"/>
      <c r="F4" s="7"/>
      <c r="G4" s="1"/>
      <c r="H4" s="7"/>
      <c r="I4" s="7"/>
      <c r="J4" s="1"/>
      <c r="K4" s="7"/>
      <c r="L4" s="1"/>
      <c r="M4" s="7"/>
      <c r="N4" s="7"/>
      <c r="O4" s="7"/>
      <c r="P4" s="1"/>
      <c r="Q4" s="2"/>
    </row>
    <row r="5" spans="3:17" x14ac:dyDescent="0.25">
      <c r="C5" s="9">
        <v>-1</v>
      </c>
      <c r="D5" s="1"/>
      <c r="E5" s="1"/>
      <c r="F5" s="7"/>
      <c r="G5" s="1"/>
      <c r="H5" s="7"/>
      <c r="I5" s="7"/>
      <c r="J5" s="1"/>
      <c r="K5" s="1"/>
      <c r="L5" s="1"/>
      <c r="M5" s="1"/>
      <c r="N5" s="7"/>
      <c r="O5" s="7"/>
      <c r="P5" s="1"/>
      <c r="Q5" s="2"/>
    </row>
    <row r="6" spans="3:17" x14ac:dyDescent="0.25">
      <c r="C6" s="9">
        <v>1</v>
      </c>
      <c r="D6" s="1"/>
      <c r="E6" s="1"/>
      <c r="F6" s="7"/>
      <c r="G6" s="1"/>
      <c r="H6" s="7"/>
      <c r="I6" s="7"/>
      <c r="J6" s="1"/>
      <c r="K6" s="1"/>
      <c r="L6" s="1"/>
      <c r="M6" s="1"/>
      <c r="N6" s="7"/>
      <c r="O6" s="7"/>
      <c r="P6" s="1"/>
      <c r="Q6" s="2"/>
    </row>
    <row r="7" spans="3:17" x14ac:dyDescent="0.25">
      <c r="C7" s="9">
        <v>1</v>
      </c>
      <c r="D7" s="1"/>
      <c r="E7" s="1"/>
      <c r="F7" s="1"/>
      <c r="G7" s="1"/>
      <c r="H7" s="7"/>
      <c r="I7" s="7"/>
      <c r="J7" s="1"/>
      <c r="K7" s="1"/>
      <c r="L7" s="1"/>
      <c r="M7" s="1"/>
      <c r="N7" s="7"/>
      <c r="O7" s="1"/>
      <c r="P7" s="1"/>
      <c r="Q7" s="2"/>
    </row>
    <row r="8" spans="3:17" x14ac:dyDescent="0.25">
      <c r="C8" s="9"/>
      <c r="D8" s="1"/>
      <c r="E8" s="1"/>
      <c r="F8" s="1"/>
      <c r="G8" s="1"/>
      <c r="H8" s="7"/>
      <c r="I8" s="7"/>
      <c r="J8" s="1"/>
      <c r="K8" s="1"/>
      <c r="L8" s="1"/>
      <c r="M8" s="1"/>
      <c r="N8" s="7"/>
      <c r="O8" s="1"/>
      <c r="P8" s="1"/>
      <c r="Q8" s="2"/>
    </row>
    <row r="9" spans="3:17" x14ac:dyDescent="0.25">
      <c r="C9" s="9">
        <v>1</v>
      </c>
      <c r="D9" s="1"/>
      <c r="E9" s="1"/>
      <c r="F9" s="1"/>
      <c r="G9" s="1"/>
      <c r="H9" s="7"/>
      <c r="I9" s="7"/>
      <c r="J9" s="1"/>
      <c r="K9" s="1"/>
      <c r="L9" s="1"/>
      <c r="M9" s="1"/>
      <c r="N9" s="7"/>
      <c r="O9" s="1"/>
      <c r="P9" s="1"/>
      <c r="Q9" s="2"/>
    </row>
    <row r="10" spans="3:17" x14ac:dyDescent="0.25">
      <c r="C10" s="9"/>
      <c r="D10" s="1"/>
      <c r="E10" s="1"/>
      <c r="F10" s="1"/>
      <c r="G10" s="1"/>
      <c r="H10" s="7"/>
      <c r="I10" s="7"/>
      <c r="J10" s="1"/>
      <c r="K10" s="1"/>
      <c r="L10" s="1"/>
      <c r="M10" s="1"/>
      <c r="N10" s="1"/>
      <c r="O10" s="1"/>
      <c r="P10" s="1"/>
      <c r="Q10" s="2"/>
    </row>
    <row r="11" spans="3:17" x14ac:dyDescent="0.25">
      <c r="C11" s="9">
        <v>1</v>
      </c>
      <c r="D11" s="1"/>
      <c r="E11" s="1"/>
      <c r="F11" s="1"/>
      <c r="G11" s="1"/>
      <c r="H11" s="7"/>
      <c r="I11" s="7">
        <v>-1</v>
      </c>
      <c r="J11" s="1"/>
      <c r="K11" s="1"/>
      <c r="L11" s="1"/>
      <c r="M11" s="1"/>
      <c r="N11" s="1"/>
      <c r="O11" s="1"/>
      <c r="P11" s="1"/>
      <c r="Q11" s="2"/>
    </row>
    <row r="12" spans="3:17" x14ac:dyDescent="0.25">
      <c r="C12" s="3"/>
      <c r="D12" s="1"/>
      <c r="E12" s="1"/>
      <c r="F12" s="1"/>
      <c r="G12" s="1"/>
      <c r="H12" s="7"/>
      <c r="I12" s="7"/>
      <c r="J12" s="1"/>
      <c r="K12" s="1"/>
      <c r="L12" s="1"/>
      <c r="M12" s="1"/>
      <c r="N12" s="1"/>
      <c r="O12" s="1"/>
      <c r="P12" s="1"/>
      <c r="Q12" s="2"/>
    </row>
    <row r="13" spans="3:17" x14ac:dyDescent="0.25">
      <c r="C13" s="3"/>
      <c r="D13" s="1"/>
      <c r="E13" s="1"/>
      <c r="F13" s="1"/>
      <c r="G13" s="1"/>
      <c r="H13" s="7"/>
      <c r="I13" s="1"/>
      <c r="J13" s="1"/>
      <c r="K13" s="1"/>
      <c r="L13" s="1"/>
      <c r="M13" s="1"/>
      <c r="N13" s="1"/>
      <c r="O13" s="1"/>
      <c r="P13" s="1"/>
      <c r="Q13" s="2"/>
    </row>
    <row r="14" spans="3:17" x14ac:dyDescent="0.25">
      <c r="C14" s="3"/>
      <c r="D14" s="1"/>
      <c r="E14" s="1"/>
      <c r="F14" s="1"/>
      <c r="G14" s="1"/>
      <c r="H14" s="7"/>
      <c r="I14" s="1"/>
      <c r="J14" s="1"/>
      <c r="K14" s="1"/>
      <c r="L14" s="1"/>
      <c r="M14" s="1"/>
      <c r="N14" s="1"/>
      <c r="O14" s="1"/>
      <c r="P14" s="1"/>
      <c r="Q14" s="2"/>
    </row>
    <row r="15" spans="3:17" ht="15.75" x14ac:dyDescent="0.25">
      <c r="C15" s="16">
        <v>25</v>
      </c>
      <c r="D15" s="17">
        <v>26</v>
      </c>
      <c r="E15" s="18">
        <v>27</v>
      </c>
      <c r="F15" s="18">
        <v>28</v>
      </c>
      <c r="G15" s="17">
        <v>29</v>
      </c>
      <c r="H15" s="19">
        <v>30</v>
      </c>
      <c r="I15" s="17">
        <v>31</v>
      </c>
      <c r="J15" s="18">
        <v>32</v>
      </c>
      <c r="K15" s="17">
        <v>33</v>
      </c>
      <c r="L15" s="17">
        <v>34</v>
      </c>
      <c r="M15" s="18">
        <v>35</v>
      </c>
      <c r="N15" s="17">
        <v>36</v>
      </c>
      <c r="O15" s="1"/>
      <c r="P15" s="1"/>
      <c r="Q15" s="2"/>
    </row>
    <row r="16" spans="3:17" x14ac:dyDescent="0.25">
      <c r="C16" s="10"/>
      <c r="D16" s="7">
        <v>-1</v>
      </c>
      <c r="E16" s="8"/>
      <c r="F16" s="8"/>
      <c r="G16" s="8"/>
      <c r="H16" s="8"/>
      <c r="I16" s="8"/>
      <c r="J16" s="8"/>
      <c r="K16" s="8"/>
      <c r="L16" s="8"/>
      <c r="M16" s="8"/>
      <c r="N16" s="7"/>
      <c r="O16" s="1"/>
      <c r="P16" s="1"/>
      <c r="Q16" s="2"/>
    </row>
    <row r="17" spans="3:17" x14ac:dyDescent="0.25">
      <c r="C17" s="10"/>
      <c r="D17" s="7"/>
      <c r="E17" s="8"/>
      <c r="F17" s="8"/>
      <c r="G17" s="8"/>
      <c r="H17" s="8"/>
      <c r="I17" s="8"/>
      <c r="J17" s="8"/>
      <c r="K17" s="7"/>
      <c r="L17" s="20"/>
      <c r="M17" s="1"/>
      <c r="N17" s="7"/>
      <c r="O17" s="1"/>
      <c r="P17" s="1"/>
      <c r="Q17" s="2"/>
    </row>
    <row r="18" spans="3:17" x14ac:dyDescent="0.25">
      <c r="C18" s="10"/>
      <c r="D18" s="7"/>
      <c r="E18" s="8"/>
      <c r="F18" s="8"/>
      <c r="G18" s="7"/>
      <c r="H18" s="1"/>
      <c r="I18" s="8"/>
      <c r="J18" s="8"/>
      <c r="K18" s="7"/>
      <c r="L18" s="1"/>
      <c r="M18" s="1"/>
      <c r="N18" s="7"/>
      <c r="O18" s="1"/>
      <c r="P18" s="1"/>
      <c r="Q18" s="2"/>
    </row>
    <row r="19" spans="3:17" x14ac:dyDescent="0.25">
      <c r="C19" s="10"/>
      <c r="D19" s="7"/>
      <c r="E19" s="8"/>
      <c r="F19" s="8"/>
      <c r="G19" s="7"/>
      <c r="H19" s="1"/>
      <c r="I19" s="7"/>
      <c r="J19" s="1"/>
      <c r="K19" s="7"/>
      <c r="L19" s="1"/>
      <c r="M19" s="1"/>
      <c r="N19" s="7"/>
      <c r="O19" s="1"/>
      <c r="P19" s="1"/>
      <c r="Q19" s="2"/>
    </row>
    <row r="20" spans="3:17" x14ac:dyDescent="0.25">
      <c r="C20" s="3"/>
      <c r="D20" s="7"/>
      <c r="E20" s="8"/>
      <c r="F20" s="8"/>
      <c r="G20" s="7"/>
      <c r="H20" s="1"/>
      <c r="I20" s="7"/>
      <c r="J20" s="1"/>
      <c r="K20" s="7"/>
      <c r="L20" s="1"/>
      <c r="M20" s="1"/>
      <c r="N20" s="7"/>
      <c r="O20" s="1"/>
      <c r="P20" s="1"/>
      <c r="Q20" s="2"/>
    </row>
    <row r="21" spans="3:17" x14ac:dyDescent="0.25">
      <c r="C21" s="3"/>
      <c r="D21" s="7"/>
      <c r="E21" s="8"/>
      <c r="F21" s="8"/>
      <c r="G21" s="7"/>
      <c r="H21" s="1"/>
      <c r="I21" s="7"/>
      <c r="J21" s="1"/>
      <c r="K21" s="7"/>
      <c r="L21" s="1"/>
      <c r="M21" s="1"/>
      <c r="N21" s="7"/>
      <c r="O21" s="1"/>
      <c r="P21" s="1"/>
      <c r="Q21" s="2"/>
    </row>
    <row r="22" spans="3:17" x14ac:dyDescent="0.25">
      <c r="C22" s="3"/>
      <c r="D22" s="7"/>
      <c r="E22" s="8"/>
      <c r="F22" s="8"/>
      <c r="G22" s="7"/>
      <c r="H22" s="1"/>
      <c r="I22" s="7"/>
      <c r="J22" s="1"/>
      <c r="K22" s="7"/>
      <c r="L22" s="1"/>
      <c r="M22" s="1"/>
      <c r="N22" s="7"/>
      <c r="O22" s="1"/>
      <c r="P22" s="1"/>
      <c r="Q22" s="2"/>
    </row>
    <row r="23" spans="3:17" x14ac:dyDescent="0.25">
      <c r="C23" s="3"/>
      <c r="D23" s="7"/>
      <c r="E23" s="8"/>
      <c r="F23" s="8"/>
      <c r="G23" s="7"/>
      <c r="H23" s="1"/>
      <c r="I23" s="7"/>
      <c r="J23" s="1"/>
      <c r="K23" s="7"/>
      <c r="L23" s="1"/>
      <c r="M23" s="1"/>
      <c r="N23" s="7"/>
      <c r="O23" s="1"/>
      <c r="P23" s="1"/>
      <c r="Q23" s="2"/>
    </row>
    <row r="24" spans="3:17" x14ac:dyDescent="0.25">
      <c r="C24" s="3"/>
      <c r="D24" s="7"/>
      <c r="E24" s="1"/>
      <c r="F24" s="8"/>
      <c r="G24" s="7"/>
      <c r="H24" s="1"/>
      <c r="I24" s="1"/>
      <c r="J24" s="1"/>
      <c r="K24" s="7"/>
      <c r="L24" s="1"/>
      <c r="M24" s="1"/>
      <c r="N24" s="7"/>
      <c r="O24" s="1"/>
      <c r="P24" s="1"/>
      <c r="Q24" s="2"/>
    </row>
    <row r="25" spans="3:17" x14ac:dyDescent="0.25">
      <c r="C25" s="3"/>
      <c r="D25" s="7"/>
      <c r="E25" s="1"/>
      <c r="F25" s="8"/>
      <c r="G25" s="7"/>
      <c r="H25" s="1"/>
      <c r="I25" s="1"/>
      <c r="J25" s="1"/>
      <c r="K25" s="7"/>
      <c r="L25" s="1"/>
      <c r="M25" s="1"/>
      <c r="N25" s="7"/>
      <c r="O25" s="1"/>
      <c r="P25" s="1"/>
      <c r="Q25" s="2"/>
    </row>
    <row r="26" spans="3:17" x14ac:dyDescent="0.25">
      <c r="C26" s="3"/>
      <c r="D26" s="7"/>
      <c r="E26" s="1"/>
      <c r="F26" s="8"/>
      <c r="G26" s="7"/>
      <c r="H26" s="1"/>
      <c r="I26" s="1"/>
      <c r="J26" s="1"/>
      <c r="K26" s="7"/>
      <c r="L26" s="1"/>
      <c r="M26" s="1"/>
      <c r="N26" s="7"/>
      <c r="O26" s="1"/>
      <c r="P26" s="1"/>
      <c r="Q26" s="2"/>
    </row>
    <row r="27" spans="3:17" x14ac:dyDescent="0.25">
      <c r="C27" s="3"/>
      <c r="D27" s="1"/>
      <c r="E27" s="1"/>
      <c r="F27" s="8"/>
      <c r="G27" s="7"/>
      <c r="H27" s="1"/>
      <c r="I27" s="1"/>
      <c r="J27" s="1"/>
      <c r="K27" s="7"/>
      <c r="L27" s="1"/>
      <c r="M27" s="1"/>
      <c r="N27" s="1"/>
      <c r="O27" s="1"/>
      <c r="P27" s="1"/>
      <c r="Q27" s="2"/>
    </row>
    <row r="28" spans="3:17" x14ac:dyDescent="0.25">
      <c r="C28" s="3"/>
      <c r="D28" s="1"/>
      <c r="E28" s="1"/>
      <c r="F28" s="1"/>
      <c r="G28" s="7"/>
      <c r="H28" s="1"/>
      <c r="I28" s="1"/>
      <c r="J28" s="1"/>
      <c r="K28" s="1"/>
      <c r="L28" s="1"/>
      <c r="M28" s="1"/>
      <c r="N28" s="1"/>
      <c r="O28" s="1"/>
      <c r="P28" s="1"/>
      <c r="Q28" s="2"/>
    </row>
    <row r="29" spans="3:17" x14ac:dyDescent="0.25">
      <c r="C29" s="3"/>
      <c r="D29" s="1"/>
      <c r="E29" s="1"/>
      <c r="F29" s="1"/>
      <c r="G29" s="7"/>
      <c r="H29" s="1"/>
      <c r="I29" s="1"/>
      <c r="J29" s="1"/>
      <c r="K29" s="1"/>
      <c r="L29" s="1"/>
      <c r="M29" s="1"/>
      <c r="N29" s="1"/>
      <c r="O29" s="1"/>
      <c r="P29" s="1"/>
      <c r="Q29" s="2"/>
    </row>
    <row r="30" spans="3:17" x14ac:dyDescent="0.25">
      <c r="C30" s="3"/>
      <c r="D30" s="1"/>
      <c r="E30" s="1"/>
      <c r="F30" s="1"/>
      <c r="G30" s="7"/>
      <c r="H30" s="1"/>
      <c r="I30" s="1"/>
      <c r="J30" s="1"/>
      <c r="K30" s="1"/>
      <c r="L30" s="1"/>
      <c r="M30" s="1"/>
      <c r="N30" s="1"/>
      <c r="O30" s="1"/>
      <c r="P30" s="1"/>
      <c r="Q30" s="2"/>
    </row>
    <row r="31" spans="3:17" x14ac:dyDescent="0.25">
      <c r="C31" s="3"/>
      <c r="D31" s="1"/>
      <c r="E31" s="1"/>
      <c r="F31" s="1"/>
      <c r="G31" s="7"/>
      <c r="H31" s="1"/>
      <c r="I31" s="1"/>
      <c r="J31" s="1"/>
      <c r="K31" s="1"/>
      <c r="L31" s="1"/>
      <c r="M31" s="1"/>
      <c r="N31" s="1"/>
      <c r="O31" s="1"/>
      <c r="P31" s="1"/>
      <c r="Q31" s="2"/>
    </row>
    <row r="32" spans="3:17" x14ac:dyDescent="0.25">
      <c r="C32" s="3"/>
      <c r="D32" s="1"/>
      <c r="E32" s="1"/>
      <c r="F32" s="1"/>
      <c r="G32" s="7"/>
      <c r="H32" s="1"/>
      <c r="I32" s="1"/>
      <c r="J32" s="1"/>
      <c r="K32" s="1"/>
      <c r="L32" s="1"/>
      <c r="M32" s="1"/>
      <c r="N32" s="1"/>
      <c r="O32" s="1"/>
      <c r="P32" s="1"/>
      <c r="Q32" s="2"/>
    </row>
    <row r="33" spans="3:17" x14ac:dyDescent="0.25">
      <c r="C33" s="3"/>
      <c r="D33" s="1"/>
      <c r="E33" s="1"/>
      <c r="F33" s="1"/>
      <c r="G33" s="7"/>
      <c r="H33" s="1"/>
      <c r="I33" s="1"/>
      <c r="J33" s="1"/>
      <c r="K33" s="1"/>
      <c r="L33" s="1"/>
      <c r="M33" s="1"/>
      <c r="N33" s="1"/>
      <c r="O33" s="1"/>
      <c r="P33" s="1"/>
      <c r="Q33" s="2"/>
    </row>
    <row r="34" spans="3:17" ht="15.75" thickBot="1" x14ac:dyDescent="0.3">
      <c r="C34" s="4"/>
      <c r="D34" s="5"/>
      <c r="E34" s="5"/>
      <c r="F34" s="5"/>
      <c r="G34" s="5"/>
      <c r="H34" s="5"/>
      <c r="I34" s="5"/>
      <c r="J34" s="5"/>
      <c r="K34" s="5"/>
      <c r="L34" s="5"/>
      <c r="M34" s="5"/>
      <c r="N34" s="5"/>
      <c r="O34" s="5"/>
      <c r="P34" s="5"/>
      <c r="Q34" s="6"/>
    </row>
    <row r="35" spans="3:17" ht="15.75" thickTop="1" x14ac:dyDescent="0.25"/>
  </sheetData>
  <mergeCells count="1">
    <mergeCell ref="C1:Q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2490E-97A7-41EC-B23A-8A58472677D2}">
  <sheetPr codeName="Sheet7"/>
  <dimension ref="C1:Q35"/>
  <sheetViews>
    <sheetView workbookViewId="0">
      <selection activeCell="C1" sqref="C1:Q34"/>
    </sheetView>
  </sheetViews>
  <sheetFormatPr defaultRowHeight="15" x14ac:dyDescent="0.25"/>
  <sheetData>
    <row r="1" spans="3:17" ht="17.25" thickTop="1" thickBot="1" x14ac:dyDescent="0.3">
      <c r="C1" s="103" t="s">
        <v>1</v>
      </c>
      <c r="D1" s="104"/>
      <c r="E1" s="104"/>
      <c r="F1" s="104"/>
      <c r="G1" s="104"/>
      <c r="H1" s="104"/>
      <c r="I1" s="104"/>
      <c r="J1" s="104"/>
      <c r="K1" s="104"/>
      <c r="L1" s="104"/>
      <c r="M1" s="104"/>
      <c r="N1" s="104"/>
      <c r="O1" s="104"/>
      <c r="P1" s="104"/>
      <c r="Q1" s="105"/>
    </row>
    <row r="2" spans="3:17" ht="16.5" thickTop="1" x14ac:dyDescent="0.25">
      <c r="C2" s="12">
        <v>10</v>
      </c>
      <c r="D2" s="13">
        <v>11</v>
      </c>
      <c r="E2" s="14">
        <v>12</v>
      </c>
      <c r="F2" s="13">
        <v>13</v>
      </c>
      <c r="G2" s="14">
        <v>14</v>
      </c>
      <c r="H2" s="13">
        <v>15</v>
      </c>
      <c r="I2" s="13">
        <v>16</v>
      </c>
      <c r="J2" s="14">
        <v>17</v>
      </c>
      <c r="K2" s="13">
        <v>18</v>
      </c>
      <c r="L2" s="13">
        <v>19</v>
      </c>
      <c r="M2" s="14">
        <v>20</v>
      </c>
      <c r="N2" s="13">
        <v>21</v>
      </c>
      <c r="O2" s="13">
        <v>22</v>
      </c>
      <c r="P2" s="13">
        <v>23</v>
      </c>
      <c r="Q2" s="15">
        <v>24</v>
      </c>
    </row>
    <row r="3" spans="3:17" x14ac:dyDescent="0.25">
      <c r="C3" s="9">
        <v>1</v>
      </c>
      <c r="D3" s="20">
        <v>-1</v>
      </c>
      <c r="E3" s="8">
        <v>-1</v>
      </c>
      <c r="F3" s="7">
        <v>-1</v>
      </c>
      <c r="G3" s="8"/>
      <c r="H3" s="7">
        <v>1</v>
      </c>
      <c r="I3" s="7"/>
      <c r="J3" s="7"/>
      <c r="K3" s="7"/>
      <c r="L3" s="7"/>
      <c r="M3" s="7"/>
      <c r="N3" s="7"/>
      <c r="O3" s="7"/>
      <c r="P3" s="7"/>
      <c r="Q3" s="32"/>
    </row>
    <row r="4" spans="3:17" x14ac:dyDescent="0.25">
      <c r="C4" s="9">
        <v>1</v>
      </c>
      <c r="D4" s="20"/>
      <c r="E4" s="1"/>
      <c r="F4" s="7"/>
      <c r="G4" s="1"/>
      <c r="H4" s="7"/>
      <c r="I4" s="7"/>
      <c r="J4" s="1"/>
      <c r="K4" s="7"/>
      <c r="L4" s="1"/>
      <c r="M4" s="7"/>
      <c r="N4" s="7"/>
      <c r="O4" s="7"/>
      <c r="P4" s="1"/>
      <c r="Q4" s="2"/>
    </row>
    <row r="5" spans="3:17" x14ac:dyDescent="0.25">
      <c r="C5" s="9">
        <v>-1</v>
      </c>
      <c r="D5" s="1"/>
      <c r="E5" s="1"/>
      <c r="F5" s="7"/>
      <c r="G5" s="1"/>
      <c r="H5" s="7"/>
      <c r="I5" s="7"/>
      <c r="J5" s="1"/>
      <c r="K5" s="1"/>
      <c r="L5" s="1"/>
      <c r="M5" s="1"/>
      <c r="N5" s="7"/>
      <c r="O5" s="7"/>
      <c r="P5" s="1"/>
      <c r="Q5" s="2"/>
    </row>
    <row r="6" spans="3:17" x14ac:dyDescent="0.25">
      <c r="C6" s="9">
        <v>1</v>
      </c>
      <c r="D6" s="1"/>
      <c r="E6" s="1"/>
      <c r="F6" s="7"/>
      <c r="G6" s="1"/>
      <c r="H6" s="7"/>
      <c r="I6" s="7"/>
      <c r="J6" s="1"/>
      <c r="K6" s="1"/>
      <c r="L6" s="1"/>
      <c r="M6" s="1"/>
      <c r="N6" s="7"/>
      <c r="O6" s="7"/>
      <c r="P6" s="1"/>
      <c r="Q6" s="2"/>
    </row>
    <row r="7" spans="3:17" x14ac:dyDescent="0.25">
      <c r="C7" s="9">
        <v>1</v>
      </c>
      <c r="D7" s="1"/>
      <c r="E7" s="1"/>
      <c r="F7" s="1"/>
      <c r="G7" s="1"/>
      <c r="H7" s="7"/>
      <c r="I7" s="7"/>
      <c r="J7" s="1"/>
      <c r="K7" s="1"/>
      <c r="L7" s="1"/>
      <c r="M7" s="1"/>
      <c r="N7" s="7"/>
      <c r="O7" s="1"/>
      <c r="P7" s="1"/>
      <c r="Q7" s="2"/>
    </row>
    <row r="8" spans="3:17" x14ac:dyDescent="0.25">
      <c r="C8" s="9"/>
      <c r="D8" s="1"/>
      <c r="E8" s="1"/>
      <c r="F8" s="1"/>
      <c r="G8" s="1"/>
      <c r="H8" s="7"/>
      <c r="I8" s="7"/>
      <c r="J8" s="1"/>
      <c r="K8" s="1"/>
      <c r="L8" s="1"/>
      <c r="M8" s="1"/>
      <c r="N8" s="7"/>
      <c r="O8" s="1"/>
      <c r="P8" s="1"/>
      <c r="Q8" s="2"/>
    </row>
    <row r="9" spans="3:17" x14ac:dyDescent="0.25">
      <c r="C9" s="9">
        <v>1</v>
      </c>
      <c r="D9" s="1"/>
      <c r="E9" s="1"/>
      <c r="F9" s="1"/>
      <c r="G9" s="1"/>
      <c r="H9" s="7"/>
      <c r="I9" s="7"/>
      <c r="J9" s="1"/>
      <c r="K9" s="1"/>
      <c r="L9" s="1"/>
      <c r="M9" s="1"/>
      <c r="N9" s="7"/>
      <c r="O9" s="1"/>
      <c r="P9" s="1"/>
      <c r="Q9" s="2"/>
    </row>
    <row r="10" spans="3:17" x14ac:dyDescent="0.25">
      <c r="C10" s="9"/>
      <c r="D10" s="1"/>
      <c r="E10" s="1"/>
      <c r="F10" s="1"/>
      <c r="G10" s="1"/>
      <c r="H10" s="7"/>
      <c r="I10" s="7"/>
      <c r="J10" s="1"/>
      <c r="K10" s="1"/>
      <c r="L10" s="1"/>
      <c r="M10" s="1"/>
      <c r="N10" s="1"/>
      <c r="O10" s="1"/>
      <c r="P10" s="1"/>
      <c r="Q10" s="2"/>
    </row>
    <row r="11" spans="3:17" x14ac:dyDescent="0.25">
      <c r="C11" s="9">
        <v>1</v>
      </c>
      <c r="D11" s="1"/>
      <c r="E11" s="1"/>
      <c r="F11" s="1"/>
      <c r="G11" s="1"/>
      <c r="H11" s="7"/>
      <c r="I11" s="7">
        <v>-1</v>
      </c>
      <c r="J11" s="1"/>
      <c r="K11" s="1"/>
      <c r="L11" s="1"/>
      <c r="M11" s="1"/>
      <c r="N11" s="1"/>
      <c r="O11" s="1"/>
      <c r="P11" s="1"/>
      <c r="Q11" s="2"/>
    </row>
    <row r="12" spans="3:17" x14ac:dyDescent="0.25">
      <c r="C12" s="3"/>
      <c r="D12" s="1"/>
      <c r="E12" s="1"/>
      <c r="F12" s="1"/>
      <c r="G12" s="1"/>
      <c r="H12" s="7"/>
      <c r="I12" s="7"/>
      <c r="J12" s="1"/>
      <c r="K12" s="1"/>
      <c r="L12" s="1"/>
      <c r="M12" s="1"/>
      <c r="N12" s="1"/>
      <c r="O12" s="1"/>
      <c r="P12" s="1"/>
      <c r="Q12" s="2"/>
    </row>
    <row r="13" spans="3:17" x14ac:dyDescent="0.25">
      <c r="C13" s="3"/>
      <c r="D13" s="1"/>
      <c r="E13" s="1"/>
      <c r="F13" s="1"/>
      <c r="G13" s="1"/>
      <c r="H13" s="7"/>
      <c r="I13" s="1"/>
      <c r="J13" s="1"/>
      <c r="K13" s="1"/>
      <c r="L13" s="1"/>
      <c r="M13" s="1"/>
      <c r="N13" s="1"/>
      <c r="O13" s="1"/>
      <c r="P13" s="1"/>
      <c r="Q13" s="2"/>
    </row>
    <row r="14" spans="3:17" x14ac:dyDescent="0.25">
      <c r="C14" s="3"/>
      <c r="D14" s="1"/>
      <c r="E14" s="1"/>
      <c r="F14" s="1"/>
      <c r="G14" s="1"/>
      <c r="H14" s="7"/>
      <c r="I14" s="1"/>
      <c r="J14" s="1"/>
      <c r="K14" s="1"/>
      <c r="L14" s="1"/>
      <c r="M14" s="1"/>
      <c r="N14" s="1"/>
      <c r="O14" s="1"/>
      <c r="P14" s="1"/>
      <c r="Q14" s="2"/>
    </row>
    <row r="15" spans="3:17" ht="15.75" x14ac:dyDescent="0.25">
      <c r="C15" s="16">
        <v>25</v>
      </c>
      <c r="D15" s="17">
        <v>26</v>
      </c>
      <c r="E15" s="18">
        <v>27</v>
      </c>
      <c r="F15" s="18">
        <v>28</v>
      </c>
      <c r="G15" s="17">
        <v>29</v>
      </c>
      <c r="H15" s="19">
        <v>30</v>
      </c>
      <c r="I15" s="17">
        <v>31</v>
      </c>
      <c r="J15" s="18">
        <v>32</v>
      </c>
      <c r="K15" s="17">
        <v>33</v>
      </c>
      <c r="L15" s="17">
        <v>34</v>
      </c>
      <c r="M15" s="18">
        <v>35</v>
      </c>
      <c r="N15" s="17">
        <v>36</v>
      </c>
      <c r="O15" s="1"/>
      <c r="P15" s="1"/>
      <c r="Q15" s="2"/>
    </row>
    <row r="16" spans="3:17" x14ac:dyDescent="0.25">
      <c r="C16" s="10"/>
      <c r="D16" s="7">
        <v>-1</v>
      </c>
      <c r="E16" s="8"/>
      <c r="F16" s="8"/>
      <c r="G16" s="8"/>
      <c r="H16" s="8"/>
      <c r="I16" s="8"/>
      <c r="J16" s="8"/>
      <c r="K16" s="8"/>
      <c r="L16" s="8"/>
      <c r="M16" s="8"/>
      <c r="N16" s="7"/>
      <c r="O16" s="1"/>
      <c r="P16" s="1"/>
      <c r="Q16" s="2"/>
    </row>
    <row r="17" spans="3:17" x14ac:dyDescent="0.25">
      <c r="C17" s="10"/>
      <c r="D17" s="7"/>
      <c r="E17" s="8"/>
      <c r="F17" s="8"/>
      <c r="G17" s="8"/>
      <c r="H17" s="8"/>
      <c r="I17" s="8"/>
      <c r="J17" s="8"/>
      <c r="K17" s="7"/>
      <c r="L17" s="20"/>
      <c r="M17" s="1"/>
      <c r="N17" s="7"/>
      <c r="O17" s="1"/>
      <c r="P17" s="1"/>
      <c r="Q17" s="2"/>
    </row>
    <row r="18" spans="3:17" x14ac:dyDescent="0.25">
      <c r="C18" s="10"/>
      <c r="D18" s="7"/>
      <c r="E18" s="8"/>
      <c r="F18" s="8"/>
      <c r="G18" s="7"/>
      <c r="H18" s="1"/>
      <c r="I18" s="8"/>
      <c r="J18" s="8"/>
      <c r="K18" s="7"/>
      <c r="L18" s="1"/>
      <c r="M18" s="1"/>
      <c r="N18" s="7"/>
      <c r="O18" s="1"/>
      <c r="P18" s="1"/>
      <c r="Q18" s="2"/>
    </row>
    <row r="19" spans="3:17" x14ac:dyDescent="0.25">
      <c r="C19" s="10"/>
      <c r="D19" s="7"/>
      <c r="E19" s="8"/>
      <c r="F19" s="8"/>
      <c r="G19" s="7"/>
      <c r="H19" s="1"/>
      <c r="I19" s="7"/>
      <c r="J19" s="1"/>
      <c r="K19" s="7"/>
      <c r="L19" s="1"/>
      <c r="M19" s="1"/>
      <c r="N19" s="7"/>
      <c r="O19" s="1"/>
      <c r="P19" s="1"/>
      <c r="Q19" s="2"/>
    </row>
    <row r="20" spans="3:17" x14ac:dyDescent="0.25">
      <c r="C20" s="3"/>
      <c r="D20" s="7"/>
      <c r="E20" s="8"/>
      <c r="F20" s="8"/>
      <c r="G20" s="7"/>
      <c r="H20" s="1"/>
      <c r="I20" s="7"/>
      <c r="J20" s="1"/>
      <c r="K20" s="7"/>
      <c r="L20" s="1"/>
      <c r="M20" s="1"/>
      <c r="N20" s="7"/>
      <c r="O20" s="1"/>
      <c r="P20" s="1"/>
      <c r="Q20" s="2"/>
    </row>
    <row r="21" spans="3:17" x14ac:dyDescent="0.25">
      <c r="C21" s="3"/>
      <c r="D21" s="7"/>
      <c r="E21" s="8"/>
      <c r="F21" s="8"/>
      <c r="G21" s="7"/>
      <c r="H21" s="1"/>
      <c r="I21" s="7"/>
      <c r="J21" s="1"/>
      <c r="K21" s="7"/>
      <c r="L21" s="1"/>
      <c r="M21" s="1"/>
      <c r="N21" s="7"/>
      <c r="O21" s="1"/>
      <c r="P21" s="1"/>
      <c r="Q21" s="2"/>
    </row>
    <row r="22" spans="3:17" x14ac:dyDescent="0.25">
      <c r="C22" s="3"/>
      <c r="D22" s="7"/>
      <c r="E22" s="8"/>
      <c r="F22" s="8"/>
      <c r="G22" s="7"/>
      <c r="H22" s="1"/>
      <c r="I22" s="7"/>
      <c r="J22" s="1"/>
      <c r="K22" s="7"/>
      <c r="L22" s="1"/>
      <c r="M22" s="1"/>
      <c r="N22" s="7"/>
      <c r="O22" s="1"/>
      <c r="P22" s="1"/>
      <c r="Q22" s="2"/>
    </row>
    <row r="23" spans="3:17" x14ac:dyDescent="0.25">
      <c r="C23" s="3"/>
      <c r="D23" s="7"/>
      <c r="E23" s="8"/>
      <c r="F23" s="8"/>
      <c r="G23" s="7"/>
      <c r="H23" s="1"/>
      <c r="I23" s="7"/>
      <c r="J23" s="1"/>
      <c r="K23" s="7"/>
      <c r="L23" s="1"/>
      <c r="M23" s="1"/>
      <c r="N23" s="7"/>
      <c r="O23" s="1"/>
      <c r="P23" s="1"/>
      <c r="Q23" s="2"/>
    </row>
    <row r="24" spans="3:17" x14ac:dyDescent="0.25">
      <c r="C24" s="3"/>
      <c r="D24" s="7"/>
      <c r="E24" s="1"/>
      <c r="F24" s="8"/>
      <c r="G24" s="7"/>
      <c r="H24" s="1"/>
      <c r="I24" s="1"/>
      <c r="J24" s="1"/>
      <c r="K24" s="7"/>
      <c r="L24" s="1"/>
      <c r="M24" s="1"/>
      <c r="N24" s="7"/>
      <c r="O24" s="1"/>
      <c r="P24" s="1"/>
      <c r="Q24" s="2"/>
    </row>
    <row r="25" spans="3:17" x14ac:dyDescent="0.25">
      <c r="C25" s="3"/>
      <c r="D25" s="7"/>
      <c r="E25" s="1"/>
      <c r="F25" s="8"/>
      <c r="G25" s="7"/>
      <c r="H25" s="1"/>
      <c r="I25" s="1"/>
      <c r="J25" s="1"/>
      <c r="K25" s="7"/>
      <c r="L25" s="1"/>
      <c r="M25" s="1"/>
      <c r="N25" s="7"/>
      <c r="O25" s="1"/>
      <c r="P25" s="1"/>
      <c r="Q25" s="2"/>
    </row>
    <row r="26" spans="3:17" x14ac:dyDescent="0.25">
      <c r="C26" s="3"/>
      <c r="D26" s="7"/>
      <c r="E26" s="1"/>
      <c r="F26" s="8"/>
      <c r="G26" s="7"/>
      <c r="H26" s="1"/>
      <c r="I26" s="1"/>
      <c r="J26" s="1"/>
      <c r="K26" s="7"/>
      <c r="L26" s="1"/>
      <c r="M26" s="1"/>
      <c r="N26" s="7"/>
      <c r="O26" s="1"/>
      <c r="P26" s="1"/>
      <c r="Q26" s="2"/>
    </row>
    <row r="27" spans="3:17" x14ac:dyDescent="0.25">
      <c r="C27" s="3"/>
      <c r="D27" s="1"/>
      <c r="E27" s="1"/>
      <c r="F27" s="8"/>
      <c r="G27" s="7"/>
      <c r="H27" s="1"/>
      <c r="I27" s="1"/>
      <c r="J27" s="1"/>
      <c r="K27" s="7"/>
      <c r="L27" s="1"/>
      <c r="M27" s="1"/>
      <c r="N27" s="1"/>
      <c r="O27" s="1"/>
      <c r="P27" s="1"/>
      <c r="Q27" s="2"/>
    </row>
    <row r="28" spans="3:17" x14ac:dyDescent="0.25">
      <c r="C28" s="3"/>
      <c r="D28" s="1"/>
      <c r="E28" s="1"/>
      <c r="F28" s="1"/>
      <c r="G28" s="7"/>
      <c r="H28" s="1"/>
      <c r="I28" s="1"/>
      <c r="J28" s="1"/>
      <c r="K28" s="1"/>
      <c r="L28" s="1"/>
      <c r="M28" s="1"/>
      <c r="N28" s="1"/>
      <c r="O28" s="1"/>
      <c r="P28" s="1"/>
      <c r="Q28" s="2"/>
    </row>
    <row r="29" spans="3:17" x14ac:dyDescent="0.25">
      <c r="C29" s="3"/>
      <c r="D29" s="1"/>
      <c r="E29" s="1"/>
      <c r="F29" s="1"/>
      <c r="G29" s="7"/>
      <c r="H29" s="1"/>
      <c r="I29" s="1"/>
      <c r="J29" s="1"/>
      <c r="K29" s="1"/>
      <c r="L29" s="1"/>
      <c r="M29" s="1"/>
      <c r="N29" s="1"/>
      <c r="O29" s="1"/>
      <c r="P29" s="1"/>
      <c r="Q29" s="2"/>
    </row>
    <row r="30" spans="3:17" x14ac:dyDescent="0.25">
      <c r="C30" s="3"/>
      <c r="D30" s="1"/>
      <c r="E30" s="1"/>
      <c r="F30" s="1"/>
      <c r="G30" s="7"/>
      <c r="H30" s="1"/>
      <c r="I30" s="1"/>
      <c r="J30" s="1"/>
      <c r="K30" s="1"/>
      <c r="L30" s="1"/>
      <c r="M30" s="1"/>
      <c r="N30" s="1"/>
      <c r="O30" s="1"/>
      <c r="P30" s="1"/>
      <c r="Q30" s="2"/>
    </row>
    <row r="31" spans="3:17" x14ac:dyDescent="0.25">
      <c r="C31" s="3"/>
      <c r="D31" s="1"/>
      <c r="E31" s="1"/>
      <c r="F31" s="1"/>
      <c r="G31" s="7"/>
      <c r="H31" s="1"/>
      <c r="I31" s="1"/>
      <c r="J31" s="1"/>
      <c r="K31" s="1"/>
      <c r="L31" s="1"/>
      <c r="M31" s="1"/>
      <c r="N31" s="1"/>
      <c r="O31" s="1"/>
      <c r="P31" s="1"/>
      <c r="Q31" s="2"/>
    </row>
    <row r="32" spans="3:17" x14ac:dyDescent="0.25">
      <c r="C32" s="3"/>
      <c r="D32" s="1"/>
      <c r="E32" s="1"/>
      <c r="F32" s="1"/>
      <c r="G32" s="7"/>
      <c r="H32" s="1"/>
      <c r="I32" s="1"/>
      <c r="J32" s="1"/>
      <c r="K32" s="1"/>
      <c r="L32" s="1"/>
      <c r="M32" s="1"/>
      <c r="N32" s="1"/>
      <c r="O32" s="1"/>
      <c r="P32" s="1"/>
      <c r="Q32" s="2"/>
    </row>
    <row r="33" spans="3:17" x14ac:dyDescent="0.25">
      <c r="C33" s="3"/>
      <c r="D33" s="1"/>
      <c r="E33" s="1"/>
      <c r="F33" s="1"/>
      <c r="G33" s="7"/>
      <c r="H33" s="1"/>
      <c r="I33" s="1"/>
      <c r="J33" s="1"/>
      <c r="K33" s="1"/>
      <c r="L33" s="1"/>
      <c r="M33" s="1"/>
      <c r="N33" s="1"/>
      <c r="O33" s="1"/>
      <c r="P33" s="1"/>
      <c r="Q33" s="2"/>
    </row>
    <row r="34" spans="3:17" ht="15.75" thickBot="1" x14ac:dyDescent="0.3">
      <c r="C34" s="4"/>
      <c r="D34" s="5"/>
      <c r="E34" s="5"/>
      <c r="F34" s="5"/>
      <c r="G34" s="5"/>
      <c r="H34" s="5"/>
      <c r="I34" s="5"/>
      <c r="J34" s="5"/>
      <c r="K34" s="5"/>
      <c r="L34" s="5"/>
      <c r="M34" s="5"/>
      <c r="N34" s="5"/>
      <c r="O34" s="5"/>
      <c r="P34" s="5"/>
      <c r="Q34" s="6"/>
    </row>
    <row r="35" spans="3:17" ht="15.75" thickTop="1" x14ac:dyDescent="0.25"/>
  </sheetData>
  <mergeCells count="1">
    <mergeCell ref="C1:Q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6B173-B806-47E7-B9D0-5B45923DE53D}">
  <sheetPr codeName="Sheet9"/>
  <dimension ref="C1:Q35"/>
  <sheetViews>
    <sheetView workbookViewId="0">
      <selection activeCell="D10" sqref="D10"/>
    </sheetView>
  </sheetViews>
  <sheetFormatPr defaultRowHeight="15" x14ac:dyDescent="0.25"/>
  <sheetData>
    <row r="1" spans="3:17" ht="17.25" thickTop="1" thickBot="1" x14ac:dyDescent="0.3">
      <c r="C1" s="103" t="s">
        <v>1</v>
      </c>
      <c r="D1" s="104"/>
      <c r="E1" s="104"/>
      <c r="F1" s="104"/>
      <c r="G1" s="104"/>
      <c r="H1" s="104"/>
      <c r="I1" s="104"/>
      <c r="J1" s="104"/>
      <c r="K1" s="104"/>
      <c r="L1" s="104"/>
      <c r="M1" s="104"/>
      <c r="N1" s="104"/>
      <c r="O1" s="104"/>
      <c r="P1" s="104"/>
      <c r="Q1" s="105"/>
    </row>
    <row r="2" spans="3:17" ht="16.5" thickTop="1" x14ac:dyDescent="0.25">
      <c r="C2" s="12">
        <v>10</v>
      </c>
      <c r="D2" s="13">
        <v>11</v>
      </c>
      <c r="E2" s="14">
        <v>12</v>
      </c>
      <c r="F2" s="13">
        <v>13</v>
      </c>
      <c r="G2" s="14">
        <v>14</v>
      </c>
      <c r="H2" s="13">
        <v>15</v>
      </c>
      <c r="I2" s="13">
        <v>16</v>
      </c>
      <c r="J2" s="14">
        <v>17</v>
      </c>
      <c r="K2" s="13">
        <v>18</v>
      </c>
      <c r="L2" s="13">
        <v>19</v>
      </c>
      <c r="M2" s="14">
        <v>20</v>
      </c>
      <c r="N2" s="13">
        <v>21</v>
      </c>
      <c r="O2" s="13">
        <v>22</v>
      </c>
      <c r="P2" s="13">
        <v>23</v>
      </c>
      <c r="Q2" s="15">
        <v>24</v>
      </c>
    </row>
    <row r="3" spans="3:17" x14ac:dyDescent="0.25">
      <c r="C3" s="9">
        <v>1</v>
      </c>
      <c r="D3" s="20">
        <v>-1</v>
      </c>
      <c r="E3" s="8">
        <v>-1</v>
      </c>
      <c r="F3" s="7">
        <v>-1</v>
      </c>
      <c r="G3" s="8"/>
      <c r="H3" s="7">
        <v>1</v>
      </c>
      <c r="I3" s="7"/>
      <c r="J3" s="7"/>
      <c r="K3" s="7"/>
      <c r="L3" s="7"/>
      <c r="M3" s="7"/>
      <c r="N3" s="7"/>
      <c r="O3" s="7"/>
      <c r="P3" s="7"/>
      <c r="Q3" s="32"/>
    </row>
    <row r="4" spans="3:17" x14ac:dyDescent="0.25">
      <c r="C4" s="9">
        <v>1</v>
      </c>
      <c r="D4" s="20"/>
      <c r="E4" s="1"/>
      <c r="F4" s="7"/>
      <c r="G4" s="1"/>
      <c r="H4" s="7"/>
      <c r="I4" s="7"/>
      <c r="J4" s="1"/>
      <c r="K4" s="7"/>
      <c r="L4" s="1"/>
      <c r="M4" s="7"/>
      <c r="N4" s="7"/>
      <c r="O4" s="7"/>
      <c r="P4" s="1"/>
      <c r="Q4" s="2"/>
    </row>
    <row r="5" spans="3:17" x14ac:dyDescent="0.25">
      <c r="C5" s="9">
        <v>1</v>
      </c>
      <c r="D5" s="1"/>
      <c r="E5" s="1"/>
      <c r="F5" s="7"/>
      <c r="G5" s="1"/>
      <c r="H5" s="7"/>
      <c r="I5" s="7"/>
      <c r="J5" s="1"/>
      <c r="K5" s="1"/>
      <c r="L5" s="1"/>
      <c r="M5" s="1"/>
      <c r="N5" s="7"/>
      <c r="O5" s="7"/>
      <c r="P5" s="1"/>
      <c r="Q5" s="2"/>
    </row>
    <row r="6" spans="3:17" x14ac:dyDescent="0.25">
      <c r="C6" s="9">
        <v>1</v>
      </c>
      <c r="D6" s="1"/>
      <c r="E6" s="1"/>
      <c r="F6" s="7"/>
      <c r="G6" s="1"/>
      <c r="H6" s="7"/>
      <c r="I6" s="7"/>
      <c r="J6" s="1"/>
      <c r="K6" s="1"/>
      <c r="L6" s="1"/>
      <c r="M6" s="1"/>
      <c r="N6" s="7"/>
      <c r="O6" s="7"/>
      <c r="P6" s="1"/>
      <c r="Q6" s="2"/>
    </row>
    <row r="7" spans="3:17" x14ac:dyDescent="0.25">
      <c r="C7" s="9">
        <v>1</v>
      </c>
      <c r="D7" s="1"/>
      <c r="E7" s="1"/>
      <c r="F7" s="1"/>
      <c r="G7" s="1"/>
      <c r="H7" s="7"/>
      <c r="I7" s="7"/>
      <c r="J7" s="1"/>
      <c r="K7" s="1"/>
      <c r="L7" s="1"/>
      <c r="M7" s="1"/>
      <c r="N7" s="7"/>
      <c r="O7" s="1"/>
      <c r="P7" s="1"/>
      <c r="Q7" s="2"/>
    </row>
    <row r="8" spans="3:17" x14ac:dyDescent="0.25">
      <c r="C8" s="9">
        <v>1</v>
      </c>
      <c r="D8" s="1"/>
      <c r="E8" s="1"/>
      <c r="F8" s="1"/>
      <c r="G8" s="1"/>
      <c r="H8" s="7"/>
      <c r="I8" s="7"/>
      <c r="J8" s="1"/>
      <c r="K8" s="1"/>
      <c r="L8" s="1"/>
      <c r="M8" s="1"/>
      <c r="N8" s="7"/>
      <c r="O8" s="1"/>
      <c r="P8" s="1"/>
      <c r="Q8" s="2"/>
    </row>
    <row r="9" spans="3:17" x14ac:dyDescent="0.25">
      <c r="C9" s="9">
        <v>1</v>
      </c>
      <c r="D9" s="1"/>
      <c r="E9" s="1"/>
      <c r="F9" s="1"/>
      <c r="G9" s="1"/>
      <c r="H9" s="7"/>
      <c r="I9" s="7"/>
      <c r="J9" s="1"/>
      <c r="K9" s="1"/>
      <c r="L9" s="1"/>
      <c r="M9" s="1"/>
      <c r="N9" s="7"/>
      <c r="O9" s="1"/>
      <c r="P9" s="1"/>
      <c r="Q9" s="2"/>
    </row>
    <row r="10" spans="3:17" x14ac:dyDescent="0.25">
      <c r="C10" s="9">
        <v>1</v>
      </c>
      <c r="D10" s="1"/>
      <c r="E10" s="1"/>
      <c r="F10" s="1"/>
      <c r="G10" s="1"/>
      <c r="H10" s="7"/>
      <c r="I10" s="7"/>
      <c r="J10" s="1"/>
      <c r="K10" s="1"/>
      <c r="L10" s="1"/>
      <c r="M10" s="1"/>
      <c r="N10" s="1"/>
      <c r="O10" s="1"/>
      <c r="P10" s="1"/>
      <c r="Q10" s="2"/>
    </row>
    <row r="11" spans="3:17" x14ac:dyDescent="0.25">
      <c r="C11" s="9">
        <v>1</v>
      </c>
      <c r="D11" s="1"/>
      <c r="E11" s="1"/>
      <c r="F11" s="1"/>
      <c r="G11" s="1"/>
      <c r="H11" s="7"/>
      <c r="I11" s="7">
        <v>-1</v>
      </c>
      <c r="J11" s="1"/>
      <c r="K11" s="1"/>
      <c r="L11" s="1"/>
      <c r="M11" s="1"/>
      <c r="N11" s="1"/>
      <c r="O11" s="1"/>
      <c r="P11" s="1"/>
      <c r="Q11" s="2"/>
    </row>
    <row r="12" spans="3:17" x14ac:dyDescent="0.25">
      <c r="C12" s="3"/>
      <c r="D12" s="1"/>
      <c r="E12" s="1"/>
      <c r="F12" s="1"/>
      <c r="G12" s="1"/>
      <c r="H12" s="7"/>
      <c r="I12" s="7"/>
      <c r="J12" s="1"/>
      <c r="K12" s="1"/>
      <c r="L12" s="1"/>
      <c r="M12" s="1"/>
      <c r="N12" s="1"/>
      <c r="O12" s="1"/>
      <c r="P12" s="1"/>
      <c r="Q12" s="2"/>
    </row>
    <row r="13" spans="3:17" x14ac:dyDescent="0.25">
      <c r="C13" s="3"/>
      <c r="D13" s="1"/>
      <c r="E13" s="1"/>
      <c r="F13" s="1"/>
      <c r="G13" s="1"/>
      <c r="H13" s="7"/>
      <c r="I13" s="1"/>
      <c r="J13" s="1"/>
      <c r="K13" s="1"/>
      <c r="L13" s="1"/>
      <c r="M13" s="1"/>
      <c r="N13" s="1"/>
      <c r="O13" s="1"/>
      <c r="P13" s="1"/>
      <c r="Q13" s="2"/>
    </row>
    <row r="14" spans="3:17" x14ac:dyDescent="0.25">
      <c r="C14" s="3"/>
      <c r="D14" s="1"/>
      <c r="E14" s="1"/>
      <c r="F14" s="1"/>
      <c r="G14" s="1"/>
      <c r="H14" s="7"/>
      <c r="I14" s="1"/>
      <c r="J14" s="1"/>
      <c r="K14" s="1"/>
      <c r="L14" s="1"/>
      <c r="M14" s="1"/>
      <c r="N14" s="1"/>
      <c r="O14" s="1"/>
      <c r="P14" s="1"/>
      <c r="Q14" s="2"/>
    </row>
    <row r="15" spans="3:17" ht="15.75" x14ac:dyDescent="0.25">
      <c r="C15" s="16">
        <v>25</v>
      </c>
      <c r="D15" s="17">
        <v>26</v>
      </c>
      <c r="E15" s="18">
        <v>27</v>
      </c>
      <c r="F15" s="18">
        <v>28</v>
      </c>
      <c r="G15" s="17">
        <v>29</v>
      </c>
      <c r="H15" s="19">
        <v>30</v>
      </c>
      <c r="I15" s="17">
        <v>31</v>
      </c>
      <c r="J15" s="18">
        <v>32</v>
      </c>
      <c r="K15" s="17">
        <v>33</v>
      </c>
      <c r="L15" s="17">
        <v>34</v>
      </c>
      <c r="M15" s="18">
        <v>35</v>
      </c>
      <c r="N15" s="17">
        <v>36</v>
      </c>
      <c r="O15" s="1"/>
      <c r="P15" s="1"/>
      <c r="Q15" s="2"/>
    </row>
    <row r="16" spans="3:17" x14ac:dyDescent="0.25">
      <c r="C16" s="10"/>
      <c r="D16" s="7">
        <v>-1</v>
      </c>
      <c r="E16" s="8"/>
      <c r="F16" s="8"/>
      <c r="G16" s="8"/>
      <c r="H16" s="8"/>
      <c r="I16" s="8"/>
      <c r="J16" s="8"/>
      <c r="K16" s="8"/>
      <c r="L16" s="8"/>
      <c r="M16" s="8"/>
      <c r="N16" s="7"/>
      <c r="O16" s="1"/>
      <c r="P16" s="1"/>
      <c r="Q16" s="2"/>
    </row>
    <row r="17" spans="3:17" x14ac:dyDescent="0.25">
      <c r="C17" s="10"/>
      <c r="D17" s="7"/>
      <c r="E17" s="8"/>
      <c r="F17" s="8"/>
      <c r="G17" s="8"/>
      <c r="H17" s="8"/>
      <c r="I17" s="8"/>
      <c r="J17" s="8"/>
      <c r="K17" s="7"/>
      <c r="L17" s="20"/>
      <c r="M17" s="1"/>
      <c r="N17" s="7"/>
      <c r="O17" s="1"/>
      <c r="P17" s="1"/>
      <c r="Q17" s="2"/>
    </row>
    <row r="18" spans="3:17" x14ac:dyDescent="0.25">
      <c r="C18" s="10"/>
      <c r="D18" s="7"/>
      <c r="E18" s="8"/>
      <c r="F18" s="8"/>
      <c r="G18" s="7"/>
      <c r="H18" s="1"/>
      <c r="I18" s="8"/>
      <c r="J18" s="8"/>
      <c r="K18" s="7"/>
      <c r="L18" s="1"/>
      <c r="M18" s="1"/>
      <c r="N18" s="7"/>
      <c r="O18" s="1"/>
      <c r="P18" s="1"/>
      <c r="Q18" s="2"/>
    </row>
    <row r="19" spans="3:17" x14ac:dyDescent="0.25">
      <c r="C19" s="10"/>
      <c r="D19" s="7"/>
      <c r="E19" s="8"/>
      <c r="F19" s="8"/>
      <c r="G19" s="7"/>
      <c r="H19" s="1"/>
      <c r="I19" s="7"/>
      <c r="J19" s="1"/>
      <c r="K19" s="7"/>
      <c r="L19" s="1"/>
      <c r="M19" s="1"/>
      <c r="N19" s="7"/>
      <c r="O19" s="1"/>
      <c r="P19" s="1"/>
      <c r="Q19" s="2"/>
    </row>
    <row r="20" spans="3:17" x14ac:dyDescent="0.25">
      <c r="C20" s="3"/>
      <c r="D20" s="7"/>
      <c r="E20" s="8"/>
      <c r="F20" s="8"/>
      <c r="G20" s="7"/>
      <c r="H20" s="1"/>
      <c r="I20" s="7"/>
      <c r="J20" s="1"/>
      <c r="K20" s="7"/>
      <c r="L20" s="1"/>
      <c r="M20" s="1"/>
      <c r="N20" s="7"/>
      <c r="O20" s="1"/>
      <c r="P20" s="1"/>
      <c r="Q20" s="2"/>
    </row>
    <row r="21" spans="3:17" x14ac:dyDescent="0.25">
      <c r="C21" s="3"/>
      <c r="D21" s="7"/>
      <c r="E21" s="8"/>
      <c r="F21" s="8"/>
      <c r="G21" s="7"/>
      <c r="H21" s="1"/>
      <c r="I21" s="7"/>
      <c r="J21" s="1"/>
      <c r="K21" s="7"/>
      <c r="L21" s="1"/>
      <c r="M21" s="1"/>
      <c r="N21" s="7"/>
      <c r="O21" s="1"/>
      <c r="P21" s="1"/>
      <c r="Q21" s="2"/>
    </row>
    <row r="22" spans="3:17" x14ac:dyDescent="0.25">
      <c r="C22" s="3"/>
      <c r="D22" s="7"/>
      <c r="E22" s="8"/>
      <c r="F22" s="8"/>
      <c r="G22" s="7"/>
      <c r="H22" s="1"/>
      <c r="I22" s="7"/>
      <c r="J22" s="1"/>
      <c r="K22" s="7"/>
      <c r="L22" s="1"/>
      <c r="M22" s="1"/>
      <c r="N22" s="7"/>
      <c r="O22" s="1"/>
      <c r="P22" s="1"/>
      <c r="Q22" s="2"/>
    </row>
    <row r="23" spans="3:17" x14ac:dyDescent="0.25">
      <c r="C23" s="3"/>
      <c r="D23" s="7"/>
      <c r="E23" s="8"/>
      <c r="F23" s="8"/>
      <c r="G23" s="7"/>
      <c r="H23" s="1"/>
      <c r="I23" s="7"/>
      <c r="J23" s="1"/>
      <c r="K23" s="7"/>
      <c r="L23" s="1"/>
      <c r="M23" s="1"/>
      <c r="N23" s="7"/>
      <c r="O23" s="1"/>
      <c r="P23" s="1"/>
      <c r="Q23" s="2"/>
    </row>
    <row r="24" spans="3:17" x14ac:dyDescent="0.25">
      <c r="C24" s="3"/>
      <c r="D24" s="7"/>
      <c r="E24" s="1"/>
      <c r="F24" s="8"/>
      <c r="G24" s="7"/>
      <c r="H24" s="1"/>
      <c r="I24" s="1"/>
      <c r="J24" s="1"/>
      <c r="K24" s="7"/>
      <c r="L24" s="1"/>
      <c r="M24" s="1"/>
      <c r="N24" s="7"/>
      <c r="O24" s="1"/>
      <c r="P24" s="1"/>
      <c r="Q24" s="2"/>
    </row>
    <row r="25" spans="3:17" x14ac:dyDescent="0.25">
      <c r="C25" s="3"/>
      <c r="D25" s="7"/>
      <c r="E25" s="1"/>
      <c r="F25" s="8"/>
      <c r="G25" s="7"/>
      <c r="H25" s="1"/>
      <c r="I25" s="1"/>
      <c r="J25" s="1"/>
      <c r="K25" s="7"/>
      <c r="L25" s="1"/>
      <c r="M25" s="1"/>
      <c r="N25" s="7"/>
      <c r="O25" s="1"/>
      <c r="P25" s="1"/>
      <c r="Q25" s="2"/>
    </row>
    <row r="26" spans="3:17" x14ac:dyDescent="0.25">
      <c r="C26" s="3"/>
      <c r="D26" s="7"/>
      <c r="E26" s="1"/>
      <c r="F26" s="8"/>
      <c r="G26" s="7"/>
      <c r="H26" s="1"/>
      <c r="I26" s="1"/>
      <c r="J26" s="1"/>
      <c r="K26" s="7"/>
      <c r="L26" s="1"/>
      <c r="M26" s="1"/>
      <c r="N26" s="7"/>
      <c r="O26" s="1"/>
      <c r="P26" s="1"/>
      <c r="Q26" s="2"/>
    </row>
    <row r="27" spans="3:17" x14ac:dyDescent="0.25">
      <c r="C27" s="3"/>
      <c r="D27" s="1"/>
      <c r="E27" s="1"/>
      <c r="F27" s="8"/>
      <c r="G27" s="7"/>
      <c r="H27" s="1"/>
      <c r="I27" s="1"/>
      <c r="J27" s="1"/>
      <c r="K27" s="7"/>
      <c r="L27" s="1"/>
      <c r="M27" s="1"/>
      <c r="N27" s="1"/>
      <c r="O27" s="1"/>
      <c r="P27" s="1"/>
      <c r="Q27" s="2"/>
    </row>
    <row r="28" spans="3:17" x14ac:dyDescent="0.25">
      <c r="C28" s="3"/>
      <c r="D28" s="1"/>
      <c r="E28" s="1"/>
      <c r="F28" s="1"/>
      <c r="G28" s="7"/>
      <c r="H28" s="1"/>
      <c r="I28" s="1"/>
      <c r="J28" s="1"/>
      <c r="K28" s="1"/>
      <c r="L28" s="1"/>
      <c r="M28" s="1"/>
      <c r="N28" s="1"/>
      <c r="O28" s="1"/>
      <c r="P28" s="1"/>
      <c r="Q28" s="2"/>
    </row>
    <row r="29" spans="3:17" x14ac:dyDescent="0.25">
      <c r="C29" s="3"/>
      <c r="D29" s="1"/>
      <c r="E29" s="1"/>
      <c r="F29" s="1"/>
      <c r="G29" s="7"/>
      <c r="H29" s="1"/>
      <c r="I29" s="1"/>
      <c r="J29" s="1"/>
      <c r="K29" s="1"/>
      <c r="L29" s="1"/>
      <c r="M29" s="1"/>
      <c r="N29" s="1"/>
      <c r="O29" s="1"/>
      <c r="P29" s="1"/>
      <c r="Q29" s="2"/>
    </row>
    <row r="30" spans="3:17" x14ac:dyDescent="0.25">
      <c r="C30" s="3"/>
      <c r="D30" s="1"/>
      <c r="E30" s="1"/>
      <c r="F30" s="1"/>
      <c r="G30" s="7"/>
      <c r="H30" s="1"/>
      <c r="I30" s="1"/>
      <c r="J30" s="1"/>
      <c r="K30" s="1"/>
      <c r="L30" s="1"/>
      <c r="M30" s="1"/>
      <c r="N30" s="1"/>
      <c r="O30" s="1"/>
      <c r="P30" s="1"/>
      <c r="Q30" s="2"/>
    </row>
    <row r="31" spans="3:17" x14ac:dyDescent="0.25">
      <c r="C31" s="3"/>
      <c r="D31" s="1"/>
      <c r="E31" s="1"/>
      <c r="F31" s="1"/>
      <c r="G31" s="7"/>
      <c r="H31" s="1"/>
      <c r="I31" s="1"/>
      <c r="J31" s="1"/>
      <c r="K31" s="1"/>
      <c r="L31" s="1"/>
      <c r="M31" s="1"/>
      <c r="N31" s="1"/>
      <c r="O31" s="1"/>
      <c r="P31" s="1"/>
      <c r="Q31" s="2"/>
    </row>
    <row r="32" spans="3:17" x14ac:dyDescent="0.25">
      <c r="C32" s="3"/>
      <c r="D32" s="1"/>
      <c r="E32" s="1"/>
      <c r="F32" s="1"/>
      <c r="G32" s="7"/>
      <c r="H32" s="1"/>
      <c r="I32" s="1"/>
      <c r="J32" s="1"/>
      <c r="K32" s="1"/>
      <c r="L32" s="1"/>
      <c r="M32" s="1"/>
      <c r="N32" s="1"/>
      <c r="O32" s="1"/>
      <c r="P32" s="1"/>
      <c r="Q32" s="2"/>
    </row>
    <row r="33" spans="3:17" x14ac:dyDescent="0.25">
      <c r="C33" s="3"/>
      <c r="D33" s="1"/>
      <c r="E33" s="1"/>
      <c r="F33" s="1"/>
      <c r="G33" s="7"/>
      <c r="H33" s="1"/>
      <c r="I33" s="1"/>
      <c r="J33" s="1"/>
      <c r="K33" s="1"/>
      <c r="L33" s="1"/>
      <c r="M33" s="1"/>
      <c r="N33" s="1"/>
      <c r="O33" s="1"/>
      <c r="P33" s="1"/>
      <c r="Q33" s="2"/>
    </row>
    <row r="34" spans="3:17" ht="15.75" thickBot="1" x14ac:dyDescent="0.3">
      <c r="C34" s="4"/>
      <c r="D34" s="5"/>
      <c r="E34" s="5"/>
      <c r="F34" s="5"/>
      <c r="G34" s="5"/>
      <c r="H34" s="5"/>
      <c r="I34" s="5"/>
      <c r="J34" s="5"/>
      <c r="K34" s="5"/>
      <c r="L34" s="5"/>
      <c r="M34" s="5"/>
      <c r="N34" s="5"/>
      <c r="O34" s="5"/>
      <c r="P34" s="5"/>
      <c r="Q34" s="6"/>
    </row>
    <row r="35" spans="3:17" ht="15.75" thickTop="1" x14ac:dyDescent="0.25"/>
  </sheetData>
  <mergeCells count="1">
    <mergeCell ref="C1:Q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7849D-6E07-4E11-9832-E18D4CAA0AB7}">
  <sheetPr codeName="Sheet12"/>
  <dimension ref="C1:Q37"/>
  <sheetViews>
    <sheetView workbookViewId="0">
      <selection activeCell="A3" sqref="A3"/>
    </sheetView>
  </sheetViews>
  <sheetFormatPr defaultRowHeight="15" x14ac:dyDescent="0.25"/>
  <cols>
    <col min="3" max="17" width="12.140625" customWidth="1"/>
  </cols>
  <sheetData>
    <row r="1" spans="3:17" ht="17.25" thickTop="1" thickBot="1" x14ac:dyDescent="0.3">
      <c r="C1" s="103" t="s">
        <v>1</v>
      </c>
      <c r="D1" s="104"/>
      <c r="E1" s="104"/>
      <c r="F1" s="104"/>
      <c r="G1" s="104"/>
      <c r="H1" s="104"/>
      <c r="I1" s="104"/>
      <c r="J1" s="104"/>
      <c r="K1" s="104"/>
      <c r="L1" s="104"/>
      <c r="M1" s="104"/>
      <c r="N1" s="104"/>
      <c r="O1" s="104"/>
      <c r="P1" s="104"/>
      <c r="Q1" s="105"/>
    </row>
    <row r="2" spans="3:17" ht="16.5" thickTop="1" x14ac:dyDescent="0.25">
      <c r="C2" s="68" t="s">
        <v>244</v>
      </c>
      <c r="D2" s="69" t="s">
        <v>245</v>
      </c>
      <c r="E2" s="70" t="s">
        <v>246</v>
      </c>
      <c r="F2" s="69" t="s">
        <v>247</v>
      </c>
      <c r="G2" s="70" t="s">
        <v>248</v>
      </c>
      <c r="H2" s="69" t="s">
        <v>249</v>
      </c>
      <c r="I2" s="69" t="s">
        <v>250</v>
      </c>
      <c r="J2" s="70" t="s">
        <v>251</v>
      </c>
      <c r="K2" s="69" t="s">
        <v>252</v>
      </c>
      <c r="L2" s="69" t="s">
        <v>253</v>
      </c>
      <c r="M2" s="70" t="s">
        <v>254</v>
      </c>
      <c r="N2" s="69" t="s">
        <v>255</v>
      </c>
      <c r="O2" s="69" t="s">
        <v>256</v>
      </c>
      <c r="P2" s="69" t="s">
        <v>257</v>
      </c>
      <c r="Q2" s="71" t="s">
        <v>258</v>
      </c>
    </row>
    <row r="3" spans="3:17" ht="15.75" x14ac:dyDescent="0.25">
      <c r="C3" s="72">
        <v>10</v>
      </c>
      <c r="D3" s="73">
        <v>11</v>
      </c>
      <c r="E3" s="74">
        <v>12</v>
      </c>
      <c r="F3" s="73">
        <v>13</v>
      </c>
      <c r="G3" s="74">
        <v>14</v>
      </c>
      <c r="H3" s="73">
        <v>15</v>
      </c>
      <c r="I3" s="73">
        <v>16</v>
      </c>
      <c r="J3" s="74">
        <v>17</v>
      </c>
      <c r="K3" s="73">
        <v>18</v>
      </c>
      <c r="L3" s="73">
        <v>19</v>
      </c>
      <c r="M3" s="74">
        <v>20</v>
      </c>
      <c r="N3" s="73">
        <v>21</v>
      </c>
      <c r="O3" s="73">
        <v>22</v>
      </c>
      <c r="P3" s="73">
        <v>23</v>
      </c>
      <c r="Q3" s="75">
        <v>24</v>
      </c>
    </row>
    <row r="4" spans="3:17" x14ac:dyDescent="0.25">
      <c r="C4" s="90">
        <v>1</v>
      </c>
      <c r="D4" s="81">
        <v>1</v>
      </c>
      <c r="E4" s="93">
        <v>1</v>
      </c>
      <c r="F4" s="81">
        <v>1</v>
      </c>
      <c r="G4" s="93">
        <v>1</v>
      </c>
      <c r="H4" s="81">
        <v>1</v>
      </c>
      <c r="I4" s="86">
        <v>1</v>
      </c>
      <c r="J4" s="94">
        <v>1</v>
      </c>
      <c r="K4" s="93">
        <v>1</v>
      </c>
      <c r="L4" s="93">
        <v>1</v>
      </c>
      <c r="M4" s="84">
        <v>1</v>
      </c>
      <c r="N4" s="81">
        <v>1</v>
      </c>
      <c r="O4" s="93">
        <v>1</v>
      </c>
      <c r="P4" s="84">
        <v>1</v>
      </c>
      <c r="Q4" s="91">
        <v>1</v>
      </c>
    </row>
    <row r="5" spans="3:17" x14ac:dyDescent="0.25">
      <c r="C5" s="90">
        <v>2</v>
      </c>
      <c r="D5" s="82">
        <v>2</v>
      </c>
      <c r="E5" s="1"/>
      <c r="F5" s="86">
        <v>2</v>
      </c>
      <c r="G5" s="1"/>
      <c r="H5" s="45">
        <v>2</v>
      </c>
      <c r="I5" s="86">
        <v>2</v>
      </c>
      <c r="J5" s="1"/>
      <c r="K5" s="86">
        <v>2</v>
      </c>
      <c r="L5" s="1"/>
      <c r="M5" s="84">
        <v>2</v>
      </c>
      <c r="N5" s="45">
        <v>2</v>
      </c>
      <c r="O5" s="45">
        <v>2</v>
      </c>
      <c r="P5" s="1"/>
      <c r="Q5" s="2"/>
    </row>
    <row r="6" spans="3:17" x14ac:dyDescent="0.25">
      <c r="C6" s="90">
        <v>3</v>
      </c>
      <c r="D6" s="1"/>
      <c r="E6" s="1"/>
      <c r="F6" s="86">
        <v>3</v>
      </c>
      <c r="G6" s="1"/>
      <c r="H6" s="93">
        <v>3</v>
      </c>
      <c r="I6" s="86">
        <v>3</v>
      </c>
      <c r="J6" s="1"/>
      <c r="K6" s="1"/>
      <c r="L6" s="1"/>
      <c r="M6" s="1"/>
      <c r="N6" s="45">
        <v>3</v>
      </c>
      <c r="O6" s="86">
        <v>3</v>
      </c>
      <c r="P6" s="1"/>
      <c r="Q6" s="2"/>
    </row>
    <row r="7" spans="3:17" x14ac:dyDescent="0.25">
      <c r="C7" s="97">
        <v>4</v>
      </c>
      <c r="D7" s="1"/>
      <c r="E7" s="1"/>
      <c r="F7" s="86">
        <v>4</v>
      </c>
      <c r="G7" s="1"/>
      <c r="H7" s="83">
        <v>4</v>
      </c>
      <c r="I7" s="86">
        <v>4</v>
      </c>
      <c r="J7" s="1"/>
      <c r="K7" s="1"/>
      <c r="L7" s="1"/>
      <c r="M7" s="1"/>
      <c r="N7" s="45">
        <v>4</v>
      </c>
      <c r="O7" s="83">
        <v>4</v>
      </c>
      <c r="P7" s="1"/>
      <c r="Q7" s="2"/>
    </row>
    <row r="8" spans="3:17" x14ac:dyDescent="0.25">
      <c r="C8" s="90">
        <v>5</v>
      </c>
      <c r="D8" s="1"/>
      <c r="E8" s="1"/>
      <c r="F8" s="1"/>
      <c r="G8" s="1"/>
      <c r="H8" s="93">
        <v>5</v>
      </c>
      <c r="I8" s="86">
        <v>5</v>
      </c>
      <c r="J8" s="1"/>
      <c r="K8" s="1"/>
      <c r="L8" s="1"/>
      <c r="M8" s="1"/>
      <c r="N8" s="45">
        <v>5</v>
      </c>
      <c r="O8" s="1"/>
      <c r="P8" s="1"/>
      <c r="Q8" s="2"/>
    </row>
    <row r="9" spans="3:17" x14ac:dyDescent="0.25">
      <c r="C9" s="80">
        <v>6</v>
      </c>
      <c r="D9" s="1"/>
      <c r="E9" s="1"/>
      <c r="F9" s="1"/>
      <c r="G9" s="1"/>
      <c r="H9" s="86">
        <v>6</v>
      </c>
      <c r="I9" s="86">
        <v>6</v>
      </c>
      <c r="J9" s="1"/>
      <c r="K9" s="1"/>
      <c r="L9" s="1"/>
      <c r="M9" s="1"/>
      <c r="N9" s="45">
        <v>6</v>
      </c>
      <c r="O9" s="1"/>
      <c r="P9" s="1"/>
      <c r="Q9" s="2"/>
    </row>
    <row r="10" spans="3:17" x14ac:dyDescent="0.25">
      <c r="C10" s="80">
        <v>7</v>
      </c>
      <c r="D10" s="1"/>
      <c r="E10" s="1"/>
      <c r="F10" s="1"/>
      <c r="G10" s="1"/>
      <c r="H10" s="93">
        <v>7</v>
      </c>
      <c r="I10" s="86">
        <v>7</v>
      </c>
      <c r="J10" s="1"/>
      <c r="K10" s="1"/>
      <c r="L10" s="1"/>
      <c r="M10" s="1"/>
      <c r="N10" s="45">
        <v>7</v>
      </c>
      <c r="O10" s="1"/>
      <c r="P10" s="1"/>
      <c r="Q10" s="2"/>
    </row>
    <row r="11" spans="3:17" x14ac:dyDescent="0.25">
      <c r="C11" s="80">
        <v>8</v>
      </c>
      <c r="D11" s="1"/>
      <c r="E11" s="1"/>
      <c r="F11" s="1"/>
      <c r="G11" s="1"/>
      <c r="H11" s="86">
        <v>8</v>
      </c>
      <c r="I11" s="86">
        <v>8</v>
      </c>
      <c r="J11" s="1"/>
      <c r="K11" s="1"/>
      <c r="L11" s="1"/>
      <c r="M11" s="1"/>
      <c r="N11" s="1"/>
      <c r="O11" s="1"/>
      <c r="P11" s="1"/>
      <c r="Q11" s="2"/>
    </row>
    <row r="12" spans="3:17" x14ac:dyDescent="0.25">
      <c r="C12" s="90">
        <v>9</v>
      </c>
      <c r="D12" s="1"/>
      <c r="E12" s="1"/>
      <c r="F12" s="1"/>
      <c r="G12" s="1"/>
      <c r="H12" s="81">
        <v>9</v>
      </c>
      <c r="I12" s="86">
        <v>9</v>
      </c>
      <c r="J12" s="1"/>
      <c r="K12" s="1"/>
      <c r="L12" s="1"/>
      <c r="M12" s="1"/>
      <c r="N12" s="1"/>
      <c r="O12" s="1"/>
      <c r="P12" s="1"/>
      <c r="Q12" s="2"/>
    </row>
    <row r="13" spans="3:17" x14ac:dyDescent="0.25">
      <c r="C13" s="3"/>
      <c r="D13" s="1"/>
      <c r="E13" s="1"/>
      <c r="F13" s="1"/>
      <c r="G13" s="1"/>
      <c r="H13" s="86">
        <v>10</v>
      </c>
      <c r="I13" s="86">
        <v>10</v>
      </c>
      <c r="J13" s="1"/>
      <c r="K13" s="1"/>
      <c r="L13" s="1"/>
      <c r="M13" s="1"/>
      <c r="N13" s="1"/>
      <c r="O13" s="1"/>
      <c r="P13" s="1"/>
      <c r="Q13" s="2"/>
    </row>
    <row r="14" spans="3:17" x14ac:dyDescent="0.25">
      <c r="C14" s="3"/>
      <c r="D14" s="1"/>
      <c r="E14" s="1"/>
      <c r="F14" s="1"/>
      <c r="G14" s="1"/>
      <c r="H14" s="83">
        <v>11</v>
      </c>
      <c r="I14" s="1"/>
      <c r="J14" s="1"/>
      <c r="K14" s="1"/>
      <c r="L14" s="1"/>
      <c r="M14" s="1"/>
      <c r="N14" s="1"/>
      <c r="O14" s="1"/>
      <c r="P14" s="1"/>
      <c r="Q14" s="2"/>
    </row>
    <row r="15" spans="3:17" x14ac:dyDescent="0.25">
      <c r="C15" s="3"/>
      <c r="D15" s="1"/>
      <c r="E15" s="1"/>
      <c r="F15" s="1"/>
      <c r="G15" s="1"/>
      <c r="H15" s="45">
        <v>12</v>
      </c>
      <c r="I15" s="1"/>
      <c r="J15" s="1"/>
      <c r="K15" s="1"/>
      <c r="L15" s="1"/>
      <c r="M15" s="1"/>
      <c r="N15" s="1"/>
      <c r="O15" s="1"/>
      <c r="P15" s="1"/>
      <c r="Q15" s="2"/>
    </row>
    <row r="16" spans="3:17" ht="15.75" x14ac:dyDescent="0.25">
      <c r="C16" s="76" t="s">
        <v>259</v>
      </c>
      <c r="D16" s="77" t="s">
        <v>260</v>
      </c>
      <c r="E16" s="78" t="s">
        <v>261</v>
      </c>
      <c r="F16" s="78" t="s">
        <v>262</v>
      </c>
      <c r="G16" s="77" t="s">
        <v>263</v>
      </c>
      <c r="H16" s="79" t="s">
        <v>264</v>
      </c>
      <c r="I16" s="77" t="s">
        <v>265</v>
      </c>
      <c r="J16" s="78" t="s">
        <v>102</v>
      </c>
      <c r="K16" s="77" t="s">
        <v>266</v>
      </c>
      <c r="L16" s="77" t="s">
        <v>267</v>
      </c>
      <c r="M16" s="78" t="s">
        <v>95</v>
      </c>
      <c r="N16" s="77" t="s">
        <v>268</v>
      </c>
      <c r="O16" s="1"/>
      <c r="P16" s="1"/>
      <c r="Q16" s="2"/>
    </row>
    <row r="17" spans="3:17" ht="15.75" x14ac:dyDescent="0.25">
      <c r="C17" s="89">
        <v>25</v>
      </c>
      <c r="D17" s="17">
        <v>26</v>
      </c>
      <c r="E17" s="18">
        <v>27</v>
      </c>
      <c r="F17" s="18">
        <v>28</v>
      </c>
      <c r="G17" s="17">
        <v>29</v>
      </c>
      <c r="H17" s="19">
        <v>30</v>
      </c>
      <c r="I17" s="17">
        <v>31</v>
      </c>
      <c r="J17" s="18">
        <v>32</v>
      </c>
      <c r="K17" s="17">
        <v>33</v>
      </c>
      <c r="L17" s="17">
        <v>34</v>
      </c>
      <c r="M17" s="18">
        <v>35</v>
      </c>
      <c r="N17" s="17">
        <v>36</v>
      </c>
      <c r="O17" s="1"/>
      <c r="P17" s="1"/>
      <c r="Q17" s="2"/>
    </row>
    <row r="18" spans="3:17" x14ac:dyDescent="0.25">
      <c r="C18" s="95">
        <v>1</v>
      </c>
      <c r="D18" s="86">
        <v>1</v>
      </c>
      <c r="E18" s="86">
        <v>1</v>
      </c>
      <c r="F18" s="45">
        <v>1</v>
      </c>
      <c r="G18" s="45">
        <v>1</v>
      </c>
      <c r="H18" s="86">
        <v>1</v>
      </c>
      <c r="I18" s="86">
        <v>1</v>
      </c>
      <c r="J18" s="45">
        <v>1</v>
      </c>
      <c r="K18" s="45">
        <v>1</v>
      </c>
      <c r="L18" s="83">
        <v>1</v>
      </c>
      <c r="M18" s="84">
        <v>1</v>
      </c>
      <c r="N18" s="83">
        <v>1</v>
      </c>
      <c r="O18" s="1"/>
      <c r="P18" s="1"/>
      <c r="Q18" s="2"/>
    </row>
    <row r="19" spans="3:17" x14ac:dyDescent="0.25">
      <c r="C19" s="96">
        <v>2</v>
      </c>
      <c r="D19" s="86">
        <v>2</v>
      </c>
      <c r="E19" s="86">
        <v>2</v>
      </c>
      <c r="F19" s="86">
        <v>2</v>
      </c>
      <c r="G19" s="86">
        <v>2</v>
      </c>
      <c r="H19" s="86">
        <v>2</v>
      </c>
      <c r="I19" s="86">
        <v>2</v>
      </c>
      <c r="J19" s="45">
        <v>2</v>
      </c>
      <c r="K19" s="45">
        <v>2</v>
      </c>
      <c r="L19" s="83">
        <v>2</v>
      </c>
      <c r="M19" s="1"/>
      <c r="N19" s="83">
        <v>2</v>
      </c>
      <c r="O19" s="1"/>
      <c r="P19" s="1"/>
      <c r="Q19" s="2"/>
    </row>
    <row r="20" spans="3:17" x14ac:dyDescent="0.25">
      <c r="C20" s="95">
        <v>3</v>
      </c>
      <c r="D20" s="45">
        <v>3</v>
      </c>
      <c r="E20" s="45">
        <v>3</v>
      </c>
      <c r="F20" s="86">
        <v>3</v>
      </c>
      <c r="G20" s="86">
        <v>3</v>
      </c>
      <c r="H20" s="1"/>
      <c r="I20" s="86">
        <v>3</v>
      </c>
      <c r="J20" s="45">
        <v>3</v>
      </c>
      <c r="K20" s="86">
        <v>3</v>
      </c>
      <c r="L20" s="1"/>
      <c r="M20" s="1"/>
      <c r="N20" s="83">
        <v>3</v>
      </c>
      <c r="O20" s="1"/>
      <c r="P20" s="1"/>
      <c r="Q20" s="2"/>
    </row>
    <row r="21" spans="3:17" x14ac:dyDescent="0.25">
      <c r="C21" s="95">
        <v>4</v>
      </c>
      <c r="D21" s="86">
        <v>4</v>
      </c>
      <c r="E21" s="45">
        <v>4</v>
      </c>
      <c r="F21" s="86">
        <v>4</v>
      </c>
      <c r="G21" s="86">
        <v>4</v>
      </c>
      <c r="H21" s="1"/>
      <c r="I21" s="45">
        <v>4</v>
      </c>
      <c r="J21" s="1"/>
      <c r="K21" s="86">
        <v>4</v>
      </c>
      <c r="L21" s="1"/>
      <c r="M21" s="1"/>
      <c r="N21" s="83">
        <v>4</v>
      </c>
      <c r="O21" s="1"/>
      <c r="P21" s="1"/>
      <c r="Q21" s="2"/>
    </row>
    <row r="22" spans="3:17" x14ac:dyDescent="0.25">
      <c r="C22" s="3"/>
      <c r="D22" s="83">
        <v>5</v>
      </c>
      <c r="E22" s="45">
        <v>5</v>
      </c>
      <c r="F22" s="86">
        <v>5</v>
      </c>
      <c r="G22" s="86">
        <v>5</v>
      </c>
      <c r="H22" s="1"/>
      <c r="I22" s="86">
        <v>5</v>
      </c>
      <c r="J22" s="1"/>
      <c r="K22" s="83">
        <v>5</v>
      </c>
      <c r="L22" s="1"/>
      <c r="M22" s="1"/>
      <c r="N22" s="83">
        <v>5</v>
      </c>
      <c r="O22" s="1"/>
      <c r="P22" s="1"/>
      <c r="Q22" s="2"/>
    </row>
    <row r="23" spans="3:17" x14ac:dyDescent="0.25">
      <c r="C23" s="3"/>
      <c r="D23" s="86">
        <v>6</v>
      </c>
      <c r="E23" s="86">
        <v>6</v>
      </c>
      <c r="F23" s="86">
        <v>6</v>
      </c>
      <c r="G23" s="86">
        <v>6</v>
      </c>
      <c r="H23" s="1"/>
      <c r="I23" s="86">
        <v>6</v>
      </c>
      <c r="J23" s="1"/>
      <c r="K23" s="83">
        <v>6</v>
      </c>
      <c r="L23" s="1"/>
      <c r="M23" s="1"/>
      <c r="N23" s="83">
        <v>6</v>
      </c>
      <c r="O23" s="1"/>
      <c r="P23" s="1"/>
      <c r="Q23" s="2"/>
    </row>
    <row r="24" spans="3:17" x14ac:dyDescent="0.25">
      <c r="C24" s="3"/>
      <c r="D24" s="83">
        <v>7</v>
      </c>
      <c r="E24" s="45">
        <v>7</v>
      </c>
      <c r="F24" s="45">
        <v>7</v>
      </c>
      <c r="G24" s="86">
        <v>7</v>
      </c>
      <c r="H24" s="1"/>
      <c r="I24" s="86">
        <v>7</v>
      </c>
      <c r="J24" s="1"/>
      <c r="K24" s="86">
        <v>7</v>
      </c>
      <c r="L24" s="1"/>
      <c r="M24" s="1"/>
      <c r="N24" s="83">
        <v>7</v>
      </c>
      <c r="O24" s="1"/>
      <c r="P24" s="1"/>
      <c r="Q24" s="2"/>
    </row>
    <row r="25" spans="3:17" x14ac:dyDescent="0.25">
      <c r="C25" s="3"/>
      <c r="D25" s="45">
        <v>8</v>
      </c>
      <c r="E25" s="45">
        <v>8</v>
      </c>
      <c r="F25" s="86">
        <v>8</v>
      </c>
      <c r="G25" s="86">
        <v>8</v>
      </c>
      <c r="H25" s="1"/>
      <c r="I25" s="86">
        <v>8</v>
      </c>
      <c r="J25" s="1"/>
      <c r="K25" s="86">
        <v>8</v>
      </c>
      <c r="L25" s="1"/>
      <c r="M25" s="1"/>
      <c r="N25" s="83">
        <v>8</v>
      </c>
      <c r="O25" s="1"/>
      <c r="P25" s="1"/>
      <c r="Q25" s="2"/>
    </row>
    <row r="26" spans="3:17" x14ac:dyDescent="0.25">
      <c r="C26" s="3"/>
      <c r="D26" s="45">
        <v>9</v>
      </c>
      <c r="E26" s="1"/>
      <c r="F26" s="45">
        <v>9</v>
      </c>
      <c r="G26" s="86">
        <v>9</v>
      </c>
      <c r="H26" s="1"/>
      <c r="I26" s="1"/>
      <c r="J26" s="1"/>
      <c r="K26" s="86">
        <v>9</v>
      </c>
      <c r="L26" s="1"/>
      <c r="M26" s="1"/>
      <c r="N26" s="83">
        <v>9</v>
      </c>
      <c r="O26" s="1"/>
      <c r="P26" s="1"/>
      <c r="Q26" s="2"/>
    </row>
    <row r="27" spans="3:17" x14ac:dyDescent="0.25">
      <c r="C27" s="3"/>
      <c r="D27" s="83">
        <v>10</v>
      </c>
      <c r="E27" s="1"/>
      <c r="F27" s="86">
        <v>10</v>
      </c>
      <c r="G27" s="86">
        <v>10</v>
      </c>
      <c r="H27" s="1"/>
      <c r="I27" s="1"/>
      <c r="J27" s="1"/>
      <c r="K27" s="86">
        <v>10</v>
      </c>
      <c r="L27" s="1"/>
      <c r="M27" s="1"/>
      <c r="N27" s="83">
        <v>10</v>
      </c>
      <c r="O27" s="1"/>
      <c r="P27" s="1"/>
      <c r="Q27" s="2"/>
    </row>
    <row r="28" spans="3:17" x14ac:dyDescent="0.25">
      <c r="C28" s="3"/>
      <c r="D28" s="86">
        <v>11</v>
      </c>
      <c r="E28" s="1"/>
      <c r="F28" s="86">
        <v>11</v>
      </c>
      <c r="G28" s="86">
        <v>11</v>
      </c>
      <c r="H28" s="1"/>
      <c r="I28" s="1"/>
      <c r="J28" s="1"/>
      <c r="K28" s="86">
        <v>11</v>
      </c>
      <c r="L28" s="1"/>
      <c r="M28" s="1"/>
      <c r="N28" s="83">
        <v>11</v>
      </c>
      <c r="O28" s="1"/>
      <c r="P28" s="1"/>
      <c r="Q28" s="2"/>
    </row>
    <row r="29" spans="3:17" x14ac:dyDescent="0.25">
      <c r="C29" s="3"/>
      <c r="D29" s="1"/>
      <c r="E29" s="1"/>
      <c r="F29" s="86">
        <v>12</v>
      </c>
      <c r="G29" s="45">
        <v>12</v>
      </c>
      <c r="H29" s="1"/>
      <c r="I29" s="1"/>
      <c r="J29" s="1"/>
      <c r="K29" s="86">
        <v>12</v>
      </c>
      <c r="L29" s="1"/>
      <c r="M29" s="1"/>
      <c r="N29" s="1"/>
      <c r="O29" s="1"/>
      <c r="P29" s="1"/>
      <c r="Q29" s="2"/>
    </row>
    <row r="30" spans="3:17" x14ac:dyDescent="0.25">
      <c r="C30" s="3"/>
      <c r="D30" s="1"/>
      <c r="E30" s="1"/>
      <c r="F30" s="1"/>
      <c r="G30" s="86">
        <v>13</v>
      </c>
      <c r="H30" s="1"/>
      <c r="I30" s="1"/>
      <c r="J30" s="1"/>
      <c r="K30" s="1"/>
      <c r="L30" s="1"/>
      <c r="M30" s="1"/>
      <c r="N30" s="1"/>
      <c r="O30" s="1"/>
      <c r="P30" s="1"/>
      <c r="Q30" s="2"/>
    </row>
    <row r="31" spans="3:17" x14ac:dyDescent="0.25">
      <c r="C31" s="3"/>
      <c r="D31" s="1"/>
      <c r="E31" s="1"/>
      <c r="F31" s="1"/>
      <c r="G31" s="86">
        <v>14</v>
      </c>
      <c r="H31" s="1"/>
      <c r="I31" s="1"/>
      <c r="J31" s="1"/>
      <c r="K31" s="1"/>
      <c r="L31" s="1"/>
      <c r="M31" s="1"/>
      <c r="N31" s="85"/>
      <c r="O31" s="109" t="s">
        <v>269</v>
      </c>
      <c r="P31" s="110"/>
      <c r="Q31" s="2"/>
    </row>
    <row r="32" spans="3:17" x14ac:dyDescent="0.25">
      <c r="C32" s="3"/>
      <c r="D32" s="1"/>
      <c r="E32" s="1"/>
      <c r="F32" s="1"/>
      <c r="G32" s="86">
        <v>15</v>
      </c>
      <c r="H32" s="1"/>
      <c r="I32" s="1"/>
      <c r="J32" s="1"/>
      <c r="K32" s="1"/>
      <c r="L32" s="1"/>
      <c r="M32" s="1"/>
      <c r="N32" s="45"/>
      <c r="O32" s="109" t="s">
        <v>270</v>
      </c>
      <c r="P32" s="110"/>
      <c r="Q32" s="2"/>
    </row>
    <row r="33" spans="3:17" x14ac:dyDescent="0.25">
      <c r="C33" s="3"/>
      <c r="D33" s="1"/>
      <c r="E33" s="1"/>
      <c r="F33" s="1"/>
      <c r="G33" s="86">
        <v>16</v>
      </c>
      <c r="H33" s="1"/>
      <c r="I33" s="1"/>
      <c r="J33" s="1"/>
      <c r="K33" s="1"/>
      <c r="L33" s="1"/>
      <c r="M33" s="1"/>
      <c r="N33" s="86"/>
      <c r="O33" s="109" t="s">
        <v>271</v>
      </c>
      <c r="P33" s="110"/>
      <c r="Q33" s="2"/>
    </row>
    <row r="34" spans="3:17" x14ac:dyDescent="0.25">
      <c r="C34" s="3"/>
      <c r="D34" s="1"/>
      <c r="E34" s="1"/>
      <c r="F34" s="1"/>
      <c r="G34" s="86">
        <v>17</v>
      </c>
      <c r="H34" s="1"/>
      <c r="I34" s="1"/>
      <c r="J34" s="1"/>
      <c r="K34" s="1"/>
      <c r="L34" s="1"/>
      <c r="M34" s="1"/>
      <c r="N34" s="1"/>
      <c r="O34" s="1"/>
      <c r="P34" s="1"/>
      <c r="Q34" s="2"/>
    </row>
    <row r="35" spans="3:17" x14ac:dyDescent="0.25">
      <c r="C35" s="3"/>
      <c r="D35" s="1"/>
      <c r="E35" s="1"/>
      <c r="F35" s="1"/>
      <c r="G35" s="45">
        <v>18</v>
      </c>
      <c r="H35" s="1"/>
      <c r="I35" s="1"/>
      <c r="J35" s="1"/>
      <c r="K35" s="1"/>
      <c r="L35" s="1"/>
      <c r="M35" s="1"/>
      <c r="N35" s="1"/>
      <c r="O35" s="1"/>
      <c r="P35" s="1"/>
      <c r="Q35" s="2"/>
    </row>
    <row r="36" spans="3:17" ht="15.75" thickBot="1" x14ac:dyDescent="0.3">
      <c r="C36" s="4"/>
      <c r="D36" s="5"/>
      <c r="E36" s="5"/>
      <c r="F36" s="5"/>
      <c r="G36" s="5"/>
      <c r="H36" s="5"/>
      <c r="I36" s="5"/>
      <c r="J36" s="5"/>
      <c r="K36" s="5"/>
      <c r="L36" s="5"/>
      <c r="M36" s="5"/>
      <c r="N36" s="5"/>
      <c r="O36" s="5"/>
      <c r="P36" s="5"/>
      <c r="Q36" s="6"/>
    </row>
    <row r="37" spans="3:17" ht="15.75" thickTop="1" x14ac:dyDescent="0.25"/>
  </sheetData>
  <mergeCells count="4">
    <mergeCell ref="C1:Q1"/>
    <mergeCell ref="O31:P31"/>
    <mergeCell ref="O32:P32"/>
    <mergeCell ref="O33:P3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54C87-DFBD-488B-8554-EBCEDFBC3FA7}">
  <sheetPr codeName="Sheet11"/>
  <dimension ref="C1:Q37"/>
  <sheetViews>
    <sheetView workbookViewId="0">
      <selection activeCell="T18" sqref="T18"/>
    </sheetView>
  </sheetViews>
  <sheetFormatPr defaultRowHeight="15" x14ac:dyDescent="0.25"/>
  <cols>
    <col min="1" max="2" width="9.140625" customWidth="1"/>
    <col min="3" max="17" width="12.140625" customWidth="1"/>
    <col min="18" max="20" width="9.140625" customWidth="1"/>
  </cols>
  <sheetData>
    <row r="1" spans="3:17" ht="15" customHeight="1" thickTop="1" thickBot="1" x14ac:dyDescent="0.3">
      <c r="C1" s="103" t="s">
        <v>1</v>
      </c>
      <c r="D1" s="104"/>
      <c r="E1" s="104"/>
      <c r="F1" s="104"/>
      <c r="G1" s="104"/>
      <c r="H1" s="104"/>
      <c r="I1" s="104"/>
      <c r="J1" s="104"/>
      <c r="K1" s="104"/>
      <c r="L1" s="104"/>
      <c r="M1" s="104"/>
      <c r="N1" s="104"/>
      <c r="O1" s="104"/>
      <c r="P1" s="104"/>
      <c r="Q1" s="105"/>
    </row>
    <row r="2" spans="3:17" ht="16.5" thickTop="1" x14ac:dyDescent="0.25">
      <c r="C2" s="68" t="s">
        <v>244</v>
      </c>
      <c r="D2" s="69" t="s">
        <v>245</v>
      </c>
      <c r="E2" s="70" t="s">
        <v>246</v>
      </c>
      <c r="F2" s="69" t="s">
        <v>247</v>
      </c>
      <c r="G2" s="70" t="s">
        <v>248</v>
      </c>
      <c r="H2" s="69" t="s">
        <v>249</v>
      </c>
      <c r="I2" s="69" t="s">
        <v>250</v>
      </c>
      <c r="J2" s="70" t="s">
        <v>251</v>
      </c>
      <c r="K2" s="69" t="s">
        <v>252</v>
      </c>
      <c r="L2" s="69" t="s">
        <v>253</v>
      </c>
      <c r="M2" s="70" t="s">
        <v>254</v>
      </c>
      <c r="N2" s="69" t="s">
        <v>255</v>
      </c>
      <c r="O2" s="69" t="s">
        <v>256</v>
      </c>
      <c r="P2" s="69" t="s">
        <v>257</v>
      </c>
      <c r="Q2" s="71" t="s">
        <v>258</v>
      </c>
    </row>
    <row r="3" spans="3:17" ht="15.75" x14ac:dyDescent="0.25">
      <c r="C3" s="72">
        <v>10</v>
      </c>
      <c r="D3" s="73">
        <v>11</v>
      </c>
      <c r="E3" s="74">
        <v>12</v>
      </c>
      <c r="F3" s="73">
        <v>13</v>
      </c>
      <c r="G3" s="74">
        <v>14</v>
      </c>
      <c r="H3" s="73">
        <v>15</v>
      </c>
      <c r="I3" s="73">
        <v>16</v>
      </c>
      <c r="J3" s="74">
        <v>17</v>
      </c>
      <c r="K3" s="73">
        <v>18</v>
      </c>
      <c r="L3" s="73">
        <v>19</v>
      </c>
      <c r="M3" s="74">
        <v>20</v>
      </c>
      <c r="N3" s="73">
        <v>21</v>
      </c>
      <c r="O3" s="73">
        <v>22</v>
      </c>
      <c r="P3" s="73">
        <v>23</v>
      </c>
      <c r="Q3" s="75">
        <v>24</v>
      </c>
    </row>
    <row r="4" spans="3:17" x14ac:dyDescent="0.25">
      <c r="C4" s="97">
        <v>1</v>
      </c>
      <c r="D4" s="93">
        <v>1</v>
      </c>
      <c r="E4" s="81">
        <v>1</v>
      </c>
      <c r="F4" s="81">
        <v>1</v>
      </c>
      <c r="G4" s="81">
        <v>1</v>
      </c>
      <c r="H4" s="93">
        <v>1</v>
      </c>
      <c r="I4" s="83">
        <v>1</v>
      </c>
      <c r="J4" s="94">
        <v>1</v>
      </c>
      <c r="K4" s="93">
        <v>1</v>
      </c>
      <c r="L4" s="81">
        <v>1</v>
      </c>
      <c r="M4" s="84">
        <v>1</v>
      </c>
      <c r="N4" s="84">
        <v>1</v>
      </c>
      <c r="O4" s="84">
        <v>1</v>
      </c>
      <c r="P4" s="93">
        <v>1</v>
      </c>
      <c r="Q4" s="87">
        <v>1</v>
      </c>
    </row>
    <row r="5" spans="3:17" x14ac:dyDescent="0.25">
      <c r="C5" s="90">
        <v>2</v>
      </c>
      <c r="D5" s="82">
        <v>2</v>
      </c>
      <c r="E5" s="1"/>
      <c r="F5" s="86">
        <v>2</v>
      </c>
      <c r="G5" s="1"/>
      <c r="H5" s="83">
        <v>2</v>
      </c>
      <c r="I5" s="45">
        <v>2</v>
      </c>
      <c r="J5" s="1"/>
      <c r="K5" s="83">
        <v>2</v>
      </c>
      <c r="L5" s="1"/>
      <c r="M5" s="84">
        <v>2</v>
      </c>
      <c r="N5" s="83">
        <v>2</v>
      </c>
      <c r="O5" s="83">
        <v>2</v>
      </c>
      <c r="P5" s="1"/>
      <c r="Q5" s="2"/>
    </row>
    <row r="6" spans="3:17" x14ac:dyDescent="0.25">
      <c r="C6" s="97">
        <v>3</v>
      </c>
      <c r="D6" s="1"/>
      <c r="E6" s="1"/>
      <c r="F6" s="86">
        <v>3</v>
      </c>
      <c r="G6" s="1"/>
      <c r="H6" s="93">
        <v>3</v>
      </c>
      <c r="I6" s="83">
        <v>3</v>
      </c>
      <c r="J6" s="1"/>
      <c r="K6" s="1"/>
      <c r="L6" s="1"/>
      <c r="M6" s="1"/>
      <c r="N6" s="83">
        <v>3</v>
      </c>
      <c r="O6" s="83">
        <v>3</v>
      </c>
      <c r="P6" s="1"/>
      <c r="Q6" s="2"/>
    </row>
    <row r="7" spans="3:17" x14ac:dyDescent="0.25">
      <c r="C7" s="80">
        <v>4</v>
      </c>
      <c r="D7" s="1"/>
      <c r="E7" s="1"/>
      <c r="F7" s="86">
        <v>4</v>
      </c>
      <c r="G7" s="1"/>
      <c r="H7" s="86">
        <v>4</v>
      </c>
      <c r="I7" s="83">
        <v>4</v>
      </c>
      <c r="J7" s="1"/>
      <c r="K7" s="1"/>
      <c r="L7" s="1"/>
      <c r="M7" s="1"/>
      <c r="N7" s="83">
        <v>4</v>
      </c>
      <c r="O7" s="83">
        <v>4</v>
      </c>
      <c r="P7" s="1"/>
      <c r="Q7" s="2"/>
    </row>
    <row r="8" spans="3:17" x14ac:dyDescent="0.25">
      <c r="C8" s="97">
        <v>5</v>
      </c>
      <c r="D8" s="1"/>
      <c r="E8" s="1"/>
      <c r="F8" s="1"/>
      <c r="G8" s="1"/>
      <c r="H8" s="84">
        <v>5</v>
      </c>
      <c r="I8" s="83">
        <v>5</v>
      </c>
      <c r="J8" s="1"/>
      <c r="K8" s="1"/>
      <c r="L8" s="1"/>
      <c r="M8" s="1"/>
      <c r="N8" s="83">
        <v>5</v>
      </c>
      <c r="O8" s="1"/>
      <c r="P8" s="1"/>
      <c r="Q8" s="2"/>
    </row>
    <row r="9" spans="3:17" x14ac:dyDescent="0.25">
      <c r="C9" s="80">
        <v>6</v>
      </c>
      <c r="D9" s="1"/>
      <c r="E9" s="1"/>
      <c r="F9" s="1"/>
      <c r="G9" s="1"/>
      <c r="H9" s="86">
        <v>6</v>
      </c>
      <c r="I9" s="83">
        <v>6</v>
      </c>
      <c r="J9" s="1"/>
      <c r="K9" s="1"/>
      <c r="L9" s="1"/>
      <c r="M9" s="1"/>
      <c r="N9" s="83">
        <v>6</v>
      </c>
      <c r="O9" s="1"/>
      <c r="P9" s="1"/>
      <c r="Q9" s="2"/>
    </row>
    <row r="10" spans="3:17" x14ac:dyDescent="0.25">
      <c r="C10" s="80">
        <v>7</v>
      </c>
      <c r="D10" s="1"/>
      <c r="E10" s="1"/>
      <c r="F10" s="1"/>
      <c r="G10" s="1"/>
      <c r="H10" s="84">
        <v>7</v>
      </c>
      <c r="I10" s="83">
        <v>7</v>
      </c>
      <c r="J10" s="1"/>
      <c r="K10" s="1"/>
      <c r="L10" s="1"/>
      <c r="M10" s="1"/>
      <c r="N10" s="83">
        <v>7</v>
      </c>
      <c r="O10" s="1"/>
      <c r="P10" s="1"/>
      <c r="Q10" s="2"/>
    </row>
    <row r="11" spans="3:17" x14ac:dyDescent="0.25">
      <c r="C11" s="80">
        <v>8</v>
      </c>
      <c r="D11" s="1"/>
      <c r="E11" s="1"/>
      <c r="F11" s="1"/>
      <c r="G11" s="1"/>
      <c r="H11" s="86">
        <v>8</v>
      </c>
      <c r="I11" s="83">
        <v>8</v>
      </c>
      <c r="J11" s="1"/>
      <c r="K11" s="1"/>
      <c r="L11" s="1"/>
      <c r="M11" s="1"/>
      <c r="N11" s="1"/>
      <c r="O11" s="1"/>
      <c r="P11" s="1"/>
      <c r="Q11" s="2"/>
    </row>
    <row r="12" spans="3:17" x14ac:dyDescent="0.25">
      <c r="C12" s="90">
        <v>9</v>
      </c>
      <c r="D12" s="1"/>
      <c r="E12" s="1"/>
      <c r="F12" s="1"/>
      <c r="G12" s="1"/>
      <c r="H12" s="84">
        <v>9</v>
      </c>
      <c r="I12" s="83">
        <v>9</v>
      </c>
      <c r="J12" s="1"/>
      <c r="K12" s="1"/>
      <c r="L12" s="1"/>
      <c r="M12" s="1"/>
      <c r="N12" s="1"/>
      <c r="O12" s="1"/>
      <c r="P12" s="1"/>
      <c r="Q12" s="2"/>
    </row>
    <row r="13" spans="3:17" x14ac:dyDescent="0.25">
      <c r="C13" s="3"/>
      <c r="D13" s="1"/>
      <c r="E13" s="1"/>
      <c r="F13" s="1"/>
      <c r="G13" s="1"/>
      <c r="H13" s="86">
        <v>10</v>
      </c>
      <c r="I13" s="45">
        <v>10</v>
      </c>
      <c r="J13" s="1"/>
      <c r="K13" s="1"/>
      <c r="L13" s="1"/>
      <c r="M13" s="1"/>
      <c r="N13" s="1"/>
      <c r="O13" s="1"/>
      <c r="P13" s="1"/>
      <c r="Q13" s="2"/>
    </row>
    <row r="14" spans="3:17" x14ac:dyDescent="0.25">
      <c r="C14" s="3"/>
      <c r="D14" s="1"/>
      <c r="E14" s="1"/>
      <c r="F14" s="1"/>
      <c r="G14" s="1"/>
      <c r="H14" s="45">
        <v>11</v>
      </c>
      <c r="I14" s="1"/>
      <c r="J14" s="1"/>
      <c r="K14" s="1"/>
      <c r="L14" s="1"/>
      <c r="M14" s="1"/>
      <c r="N14" s="1"/>
      <c r="O14" s="1"/>
      <c r="P14" s="1"/>
      <c r="Q14" s="2"/>
    </row>
    <row r="15" spans="3:17" x14ac:dyDescent="0.25">
      <c r="C15" s="3"/>
      <c r="D15" s="1"/>
      <c r="E15" s="1"/>
      <c r="F15" s="1"/>
      <c r="G15" s="1"/>
      <c r="H15" s="83">
        <v>12</v>
      </c>
      <c r="I15" s="1"/>
      <c r="J15" s="1"/>
      <c r="K15" s="1"/>
      <c r="L15" s="1"/>
      <c r="M15" s="1"/>
      <c r="N15" s="1"/>
      <c r="O15" s="1"/>
      <c r="P15" s="1"/>
      <c r="Q15" s="2"/>
    </row>
    <row r="16" spans="3:17" ht="15.75" x14ac:dyDescent="0.25">
      <c r="C16" s="76" t="s">
        <v>259</v>
      </c>
      <c r="D16" s="77" t="s">
        <v>260</v>
      </c>
      <c r="E16" s="78" t="s">
        <v>261</v>
      </c>
      <c r="F16" s="78" t="s">
        <v>262</v>
      </c>
      <c r="G16" s="77" t="s">
        <v>263</v>
      </c>
      <c r="H16" s="79" t="s">
        <v>264</v>
      </c>
      <c r="I16" s="77" t="s">
        <v>265</v>
      </c>
      <c r="J16" s="78" t="s">
        <v>102</v>
      </c>
      <c r="K16" s="77" t="s">
        <v>266</v>
      </c>
      <c r="L16" s="77" t="s">
        <v>267</v>
      </c>
      <c r="M16" s="78" t="s">
        <v>95</v>
      </c>
      <c r="N16" s="77" t="s">
        <v>268</v>
      </c>
      <c r="O16" s="1"/>
      <c r="P16" s="1"/>
      <c r="Q16" s="2"/>
    </row>
    <row r="17" spans="3:17" ht="15.75" x14ac:dyDescent="0.25">
      <c r="C17" s="89">
        <v>25</v>
      </c>
      <c r="D17" s="17">
        <v>26</v>
      </c>
      <c r="E17" s="18">
        <v>27</v>
      </c>
      <c r="F17" s="18">
        <v>28</v>
      </c>
      <c r="G17" s="17">
        <v>29</v>
      </c>
      <c r="H17" s="19">
        <v>30</v>
      </c>
      <c r="I17" s="17">
        <v>31</v>
      </c>
      <c r="J17" s="18">
        <v>32</v>
      </c>
      <c r="K17" s="17">
        <v>33</v>
      </c>
      <c r="L17" s="17">
        <v>34</v>
      </c>
      <c r="M17" s="18">
        <v>35</v>
      </c>
      <c r="N17" s="17">
        <v>36</v>
      </c>
      <c r="O17" s="1"/>
      <c r="P17" s="1"/>
      <c r="Q17" s="2"/>
    </row>
    <row r="18" spans="3:17" x14ac:dyDescent="0.25">
      <c r="C18" s="88">
        <v>1</v>
      </c>
      <c r="D18" s="83">
        <v>1</v>
      </c>
      <c r="E18" s="83">
        <v>1</v>
      </c>
      <c r="F18" s="83">
        <v>1</v>
      </c>
      <c r="G18" s="83">
        <v>1</v>
      </c>
      <c r="H18" s="83">
        <v>1</v>
      </c>
      <c r="I18" s="83">
        <v>1</v>
      </c>
      <c r="J18" s="83">
        <v>1</v>
      </c>
      <c r="K18" s="83">
        <v>1</v>
      </c>
      <c r="L18" s="83">
        <v>1</v>
      </c>
      <c r="M18" s="84">
        <v>1</v>
      </c>
      <c r="N18" s="83">
        <v>1</v>
      </c>
      <c r="O18" s="1"/>
      <c r="P18" s="1"/>
      <c r="Q18" s="2"/>
    </row>
    <row r="19" spans="3:17" x14ac:dyDescent="0.25">
      <c r="C19" s="96">
        <v>2</v>
      </c>
      <c r="D19" s="83">
        <v>2</v>
      </c>
      <c r="E19" s="83">
        <v>2</v>
      </c>
      <c r="F19" s="83">
        <v>2</v>
      </c>
      <c r="G19" s="83">
        <v>2</v>
      </c>
      <c r="H19" s="83">
        <v>2</v>
      </c>
      <c r="I19" s="83">
        <v>2</v>
      </c>
      <c r="J19" s="83">
        <v>2</v>
      </c>
      <c r="K19" s="83">
        <v>2</v>
      </c>
      <c r="L19" s="83">
        <v>2</v>
      </c>
      <c r="M19" s="1"/>
      <c r="N19" s="83">
        <v>2</v>
      </c>
      <c r="O19" s="1"/>
      <c r="P19" s="1"/>
      <c r="Q19" s="2"/>
    </row>
    <row r="20" spans="3:17" x14ac:dyDescent="0.25">
      <c r="C20" s="88">
        <v>3</v>
      </c>
      <c r="D20" s="83">
        <v>3</v>
      </c>
      <c r="E20" s="83">
        <v>3</v>
      </c>
      <c r="F20" s="83">
        <v>3</v>
      </c>
      <c r="G20" s="83">
        <v>3</v>
      </c>
      <c r="H20" s="1"/>
      <c r="I20" s="83">
        <v>3</v>
      </c>
      <c r="J20" s="83">
        <v>3</v>
      </c>
      <c r="K20" s="83">
        <v>3</v>
      </c>
      <c r="L20" s="1"/>
      <c r="M20" s="1"/>
      <c r="N20" s="83">
        <v>3</v>
      </c>
      <c r="O20" s="1"/>
      <c r="P20" s="1"/>
      <c r="Q20" s="2"/>
    </row>
    <row r="21" spans="3:17" x14ac:dyDescent="0.25">
      <c r="C21" s="88">
        <v>4</v>
      </c>
      <c r="D21" s="83">
        <v>4</v>
      </c>
      <c r="E21" s="83">
        <v>4</v>
      </c>
      <c r="F21" s="83">
        <v>4</v>
      </c>
      <c r="G21" s="83">
        <v>4</v>
      </c>
      <c r="H21" s="1"/>
      <c r="I21" s="83">
        <v>4</v>
      </c>
      <c r="J21" s="1"/>
      <c r="K21" s="83">
        <v>4</v>
      </c>
      <c r="L21" s="1"/>
      <c r="M21" s="1"/>
      <c r="N21" s="83">
        <v>4</v>
      </c>
      <c r="O21" s="1"/>
      <c r="P21" s="1"/>
      <c r="Q21" s="2"/>
    </row>
    <row r="22" spans="3:17" x14ac:dyDescent="0.25">
      <c r="C22" s="3"/>
      <c r="D22" s="83">
        <v>5</v>
      </c>
      <c r="E22" s="83">
        <v>5</v>
      </c>
      <c r="F22" s="83">
        <v>5</v>
      </c>
      <c r="G22" s="83">
        <v>5</v>
      </c>
      <c r="H22" s="1"/>
      <c r="I22" s="83">
        <v>5</v>
      </c>
      <c r="J22" s="1"/>
      <c r="K22" s="83">
        <v>5</v>
      </c>
      <c r="L22" s="1"/>
      <c r="M22" s="1"/>
      <c r="N22" s="83">
        <v>5</v>
      </c>
      <c r="O22" s="1"/>
      <c r="P22" s="1"/>
      <c r="Q22" s="2"/>
    </row>
    <row r="23" spans="3:17" x14ac:dyDescent="0.25">
      <c r="C23" s="3"/>
      <c r="D23" s="83">
        <v>6</v>
      </c>
      <c r="E23" s="83">
        <v>6</v>
      </c>
      <c r="F23" s="83">
        <v>6</v>
      </c>
      <c r="G23" s="83">
        <v>6</v>
      </c>
      <c r="H23" s="1"/>
      <c r="I23" s="83">
        <v>6</v>
      </c>
      <c r="J23" s="1"/>
      <c r="K23" s="83">
        <v>6</v>
      </c>
      <c r="L23" s="1"/>
      <c r="M23" s="1"/>
      <c r="N23" s="83">
        <v>6</v>
      </c>
      <c r="O23" s="1"/>
      <c r="P23" s="1"/>
      <c r="Q23" s="2"/>
    </row>
    <row r="24" spans="3:17" x14ac:dyDescent="0.25">
      <c r="C24" s="3"/>
      <c r="D24" s="83">
        <v>7</v>
      </c>
      <c r="E24" s="83">
        <v>7</v>
      </c>
      <c r="F24" s="83">
        <v>7</v>
      </c>
      <c r="G24" s="83">
        <v>7</v>
      </c>
      <c r="H24" s="1"/>
      <c r="I24" s="83">
        <v>7</v>
      </c>
      <c r="J24" s="1"/>
      <c r="K24" s="83">
        <v>7</v>
      </c>
      <c r="L24" s="1"/>
      <c r="M24" s="1"/>
      <c r="N24" s="83">
        <v>7</v>
      </c>
      <c r="O24" s="1"/>
      <c r="P24" s="1"/>
      <c r="Q24" s="2"/>
    </row>
    <row r="25" spans="3:17" x14ac:dyDescent="0.25">
      <c r="C25" s="3"/>
      <c r="D25" s="83">
        <v>8</v>
      </c>
      <c r="E25" s="83">
        <v>8</v>
      </c>
      <c r="F25" s="83">
        <v>8</v>
      </c>
      <c r="G25" s="83">
        <v>8</v>
      </c>
      <c r="H25" s="1"/>
      <c r="I25" s="83">
        <v>8</v>
      </c>
      <c r="J25" s="1"/>
      <c r="K25" s="83">
        <v>8</v>
      </c>
      <c r="L25" s="1"/>
      <c r="M25" s="1"/>
      <c r="N25" s="83">
        <v>8</v>
      </c>
      <c r="O25" s="1"/>
      <c r="P25" s="1"/>
      <c r="Q25" s="2"/>
    </row>
    <row r="26" spans="3:17" x14ac:dyDescent="0.25">
      <c r="C26" s="3"/>
      <c r="D26" s="83">
        <v>9</v>
      </c>
      <c r="E26" s="1"/>
      <c r="F26" s="83">
        <v>9</v>
      </c>
      <c r="G26" s="83">
        <v>9</v>
      </c>
      <c r="H26" s="1"/>
      <c r="I26" s="1"/>
      <c r="J26" s="1"/>
      <c r="K26" s="83">
        <v>9</v>
      </c>
      <c r="L26" s="1"/>
      <c r="M26" s="1"/>
      <c r="N26" s="83">
        <v>9</v>
      </c>
      <c r="O26" s="1"/>
      <c r="P26" s="1"/>
      <c r="Q26" s="2"/>
    </row>
    <row r="27" spans="3:17" x14ac:dyDescent="0.25">
      <c r="C27" s="3"/>
      <c r="D27" s="83">
        <v>10</v>
      </c>
      <c r="E27" s="1"/>
      <c r="F27" s="83">
        <v>10</v>
      </c>
      <c r="G27" s="83">
        <v>10</v>
      </c>
      <c r="H27" s="1"/>
      <c r="I27" s="1"/>
      <c r="J27" s="1"/>
      <c r="K27" s="83">
        <v>10</v>
      </c>
      <c r="L27" s="1"/>
      <c r="M27" s="1"/>
      <c r="N27" s="83">
        <v>10</v>
      </c>
      <c r="O27" s="1"/>
      <c r="P27" s="1"/>
      <c r="Q27" s="2"/>
    </row>
    <row r="28" spans="3:17" x14ac:dyDescent="0.25">
      <c r="C28" s="3"/>
      <c r="D28" s="83">
        <v>11</v>
      </c>
      <c r="E28" s="1"/>
      <c r="F28" s="83">
        <v>11</v>
      </c>
      <c r="G28" s="83">
        <v>11</v>
      </c>
      <c r="H28" s="1"/>
      <c r="I28" s="1"/>
      <c r="J28" s="1"/>
      <c r="K28" s="83">
        <v>11</v>
      </c>
      <c r="L28" s="1"/>
      <c r="M28" s="1"/>
      <c r="N28" s="83">
        <v>11</v>
      </c>
      <c r="O28" s="1"/>
      <c r="P28" s="1"/>
      <c r="Q28" s="2"/>
    </row>
    <row r="29" spans="3:17" x14ac:dyDescent="0.25">
      <c r="C29" s="3"/>
      <c r="D29" s="1"/>
      <c r="E29" s="1"/>
      <c r="F29" s="83">
        <v>12</v>
      </c>
      <c r="G29" s="83">
        <v>12</v>
      </c>
      <c r="H29" s="1"/>
      <c r="I29" s="1"/>
      <c r="J29" s="1"/>
      <c r="K29" s="83">
        <v>12</v>
      </c>
      <c r="L29" s="1"/>
      <c r="M29" s="1"/>
      <c r="N29" s="1"/>
      <c r="O29" s="1"/>
      <c r="P29" s="1"/>
      <c r="Q29" s="2"/>
    </row>
    <row r="30" spans="3:17" x14ac:dyDescent="0.25">
      <c r="C30" s="3"/>
      <c r="D30" s="1"/>
      <c r="E30" s="1"/>
      <c r="F30" s="1"/>
      <c r="G30" s="83">
        <v>13</v>
      </c>
      <c r="H30" s="1"/>
      <c r="I30" s="1"/>
      <c r="J30" s="1"/>
      <c r="K30" s="1"/>
      <c r="L30" s="1"/>
      <c r="M30" s="1"/>
      <c r="N30" s="1"/>
      <c r="O30" s="1"/>
      <c r="P30" s="1"/>
      <c r="Q30" s="2"/>
    </row>
    <row r="31" spans="3:17" x14ac:dyDescent="0.25">
      <c r="C31" s="3"/>
      <c r="D31" s="1"/>
      <c r="E31" s="1"/>
      <c r="F31" s="1"/>
      <c r="G31" s="83">
        <v>14</v>
      </c>
      <c r="H31" s="1"/>
      <c r="I31" s="1"/>
      <c r="J31" s="1"/>
      <c r="K31" s="1"/>
      <c r="L31" s="1"/>
      <c r="M31" s="1"/>
      <c r="N31" s="85"/>
      <c r="O31" s="109" t="s">
        <v>269</v>
      </c>
      <c r="P31" s="110"/>
      <c r="Q31" s="2"/>
    </row>
    <row r="32" spans="3:17" x14ac:dyDescent="0.25">
      <c r="C32" s="3"/>
      <c r="D32" s="1"/>
      <c r="E32" s="1"/>
      <c r="F32" s="1"/>
      <c r="G32" s="83">
        <v>15</v>
      </c>
      <c r="H32" s="1"/>
      <c r="I32" s="1"/>
      <c r="J32" s="1"/>
      <c r="K32" s="1"/>
      <c r="L32" s="1"/>
      <c r="M32" s="1"/>
      <c r="N32" s="45"/>
      <c r="O32" s="109" t="s">
        <v>270</v>
      </c>
      <c r="P32" s="110"/>
      <c r="Q32" s="2"/>
    </row>
    <row r="33" spans="3:17" x14ac:dyDescent="0.25">
      <c r="C33" s="3"/>
      <c r="D33" s="1"/>
      <c r="E33" s="1"/>
      <c r="F33" s="1"/>
      <c r="G33" s="83">
        <v>16</v>
      </c>
      <c r="H33" s="1"/>
      <c r="I33" s="1"/>
      <c r="J33" s="1"/>
      <c r="K33" s="1"/>
      <c r="L33" s="1"/>
      <c r="M33" s="1"/>
      <c r="N33" s="86"/>
      <c r="O33" s="109" t="s">
        <v>271</v>
      </c>
      <c r="P33" s="110"/>
      <c r="Q33" s="2"/>
    </row>
    <row r="34" spans="3:17" x14ac:dyDescent="0.25">
      <c r="C34" s="3"/>
      <c r="D34" s="1"/>
      <c r="E34" s="1"/>
      <c r="F34" s="1"/>
      <c r="G34" s="83">
        <v>17</v>
      </c>
      <c r="H34" s="1"/>
      <c r="I34" s="1"/>
      <c r="J34" s="1"/>
      <c r="K34" s="1"/>
      <c r="L34" s="1"/>
      <c r="M34" s="1"/>
      <c r="N34" s="1"/>
      <c r="O34" s="1"/>
      <c r="P34" s="1"/>
      <c r="Q34" s="2"/>
    </row>
    <row r="35" spans="3:17" x14ac:dyDescent="0.25">
      <c r="C35" s="3"/>
      <c r="D35" s="1"/>
      <c r="E35" s="1"/>
      <c r="F35" s="1"/>
      <c r="G35" s="83">
        <v>18</v>
      </c>
      <c r="H35" s="1"/>
      <c r="I35" s="1"/>
      <c r="J35" s="1"/>
      <c r="K35" s="1"/>
      <c r="L35" s="1"/>
      <c r="M35" s="1"/>
      <c r="N35" s="1"/>
      <c r="O35" s="1"/>
      <c r="P35" s="1"/>
      <c r="Q35" s="2"/>
    </row>
    <row r="36" spans="3:17" ht="15.75" thickBot="1" x14ac:dyDescent="0.3">
      <c r="C36" s="4"/>
      <c r="D36" s="5"/>
      <c r="E36" s="5"/>
      <c r="F36" s="5"/>
      <c r="G36" s="5"/>
      <c r="H36" s="5"/>
      <c r="I36" s="5"/>
      <c r="J36" s="5"/>
      <c r="K36" s="5"/>
      <c r="L36" s="5"/>
      <c r="M36" s="5"/>
      <c r="N36" s="5"/>
      <c r="O36" s="5"/>
      <c r="P36" s="5"/>
      <c r="Q36" s="6"/>
    </row>
    <row r="37" spans="3:17" ht="15.75" thickTop="1" x14ac:dyDescent="0.25"/>
  </sheetData>
  <mergeCells count="4">
    <mergeCell ref="C1:Q1"/>
    <mergeCell ref="O31:P31"/>
    <mergeCell ref="O32:P32"/>
    <mergeCell ref="O33:P3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Data</vt:lpstr>
      <vt:lpstr>Sheet1</vt:lpstr>
      <vt:lpstr>Train7</vt:lpstr>
      <vt:lpstr>Train11</vt:lpstr>
      <vt:lpstr>Train8</vt:lpstr>
      <vt:lpstr>Train9</vt:lpstr>
      <vt:lpstr>Train10</vt:lpstr>
      <vt:lpstr>Train12</vt:lpstr>
      <vt:lpstr>Train 7 Overall</vt:lpstr>
      <vt:lpstr>Train 8 Overall</vt:lpstr>
      <vt:lpstr>UserList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Gilligan</dc:creator>
  <cp:lastModifiedBy>Ryan Gilligan</cp:lastModifiedBy>
  <dcterms:created xsi:type="dcterms:W3CDTF">2021-11-09T21:12:33Z</dcterms:created>
  <dcterms:modified xsi:type="dcterms:W3CDTF">2022-02-09T20:35:15Z</dcterms:modified>
</cp:coreProperties>
</file>